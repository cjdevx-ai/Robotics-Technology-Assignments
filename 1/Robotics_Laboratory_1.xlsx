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Users\Clarence Fetalino\Documents\4th Yr PUP\2nd sem\Robotics\lab\1\"/>
    </mc:Choice>
  </mc:AlternateContent>
  <xr:revisionPtr revIDLastSave="0" documentId="13_ncr:1_{5B696178-5FC2-40D5-AF23-8534AEDD60EA}" xr6:coauthVersionLast="34" xr6:coauthVersionMax="34" xr10:uidLastSave="{00000000-0000-0000-0000-000000000000}"/>
  <bookViews>
    <workbookView xWindow="0" yWindow="0" windowWidth="9420" windowHeight="20610" firstSheet="2" activeTab="2" xr2:uid="{00000000-000D-0000-FFFF-FFFF00000000}"/>
  </bookViews>
  <sheets>
    <sheet name="No.1 Gauss Elimination Method" sheetId="1" r:id="rId1"/>
    <sheet name="No.2 Gauss-Jordan Elimination M" sheetId="2" r:id="rId2"/>
    <sheet name="No.3  LU DECOMPOSITION (Gauss E" sheetId="3" r:id="rId3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W44" i="3" l="1"/>
  <c r="V44" i="3"/>
  <c r="U44" i="3"/>
  <c r="T44" i="3"/>
  <c r="S44" i="3"/>
  <c r="R44" i="3"/>
  <c r="O33" i="3"/>
  <c r="O32" i="3"/>
  <c r="O31" i="3"/>
  <c r="O30" i="3"/>
  <c r="P19" i="3"/>
  <c r="O19" i="3"/>
  <c r="V19" i="3" s="1"/>
  <c r="V31" i="3" s="1"/>
  <c r="V43" i="3" s="1"/>
  <c r="N19" i="3"/>
  <c r="M19" i="3"/>
  <c r="L19" i="3"/>
  <c r="K19" i="3"/>
  <c r="R19" i="3" s="1"/>
  <c r="R31" i="3" s="1"/>
  <c r="R43" i="3" s="1"/>
  <c r="O18" i="3"/>
  <c r="V18" i="3" s="1"/>
  <c r="V30" i="3" s="1"/>
  <c r="V42" i="3" s="1"/>
  <c r="M18" i="3"/>
  <c r="O17" i="3"/>
  <c r="V17" i="3" s="1"/>
  <c r="V29" i="3" s="1"/>
  <c r="V41" i="3" s="1"/>
  <c r="P16" i="3"/>
  <c r="W16" i="3" s="1"/>
  <c r="W28" i="3" s="1"/>
  <c r="O16" i="3"/>
  <c r="V16" i="3" s="1"/>
  <c r="V28" i="3" s="1"/>
  <c r="V40" i="3" s="1"/>
  <c r="N16" i="3"/>
  <c r="U16" i="3" s="1"/>
  <c r="U28" i="3" s="1"/>
  <c r="U40" i="3" s="1"/>
  <c r="M16" i="3"/>
  <c r="T16" i="3" s="1"/>
  <c r="T28" i="3" s="1"/>
  <c r="T40" i="3" s="1"/>
  <c r="L16" i="3"/>
  <c r="S16" i="3" s="1"/>
  <c r="S28" i="3" s="1"/>
  <c r="S40" i="3" s="1"/>
  <c r="K16" i="3"/>
  <c r="R16" i="3" s="1"/>
  <c r="R28" i="3" s="1"/>
  <c r="W13" i="3"/>
  <c r="W25" i="3" s="1"/>
  <c r="U13" i="3"/>
  <c r="U25" i="3" s="1"/>
  <c r="T13" i="3"/>
  <c r="R13" i="3"/>
  <c r="R25" i="3" s="1"/>
  <c r="P13" i="3"/>
  <c r="O13" i="3"/>
  <c r="V13" i="3" s="1"/>
  <c r="V25" i="3" s="1"/>
  <c r="T12" i="3"/>
  <c r="T24" i="3" s="1"/>
  <c r="R12" i="3"/>
  <c r="R24" i="3" s="1"/>
  <c r="P12" i="3"/>
  <c r="W12" i="3" s="1"/>
  <c r="U36" i="3" s="1"/>
  <c r="O12" i="3"/>
  <c r="V12" i="3" s="1"/>
  <c r="V24" i="3" s="1"/>
  <c r="N12" i="3"/>
  <c r="U12" i="3" s="1"/>
  <c r="U24" i="3" s="1"/>
  <c r="K12" i="3"/>
  <c r="N18" i="3" s="1"/>
  <c r="U11" i="3"/>
  <c r="U23" i="3" s="1"/>
  <c r="T11" i="3"/>
  <c r="T23" i="3" s="1"/>
  <c r="S11" i="3"/>
  <c r="S23" i="3" s="1"/>
  <c r="P11" i="3"/>
  <c r="W11" i="3" s="1"/>
  <c r="O11" i="3"/>
  <c r="V11" i="3" s="1"/>
  <c r="V23" i="3" s="1"/>
  <c r="K11" i="3"/>
  <c r="N17" i="3" s="1"/>
  <c r="U17" i="3" s="1"/>
  <c r="U29" i="3" s="1"/>
  <c r="U41" i="3" s="1"/>
  <c r="W10" i="3"/>
  <c r="U34" i="3" s="1"/>
  <c r="U10" i="3"/>
  <c r="U22" i="3" s="1"/>
  <c r="T10" i="3"/>
  <c r="T22" i="3" s="1"/>
  <c r="S10" i="3"/>
  <c r="S22" i="3" s="1"/>
  <c r="R10" i="3"/>
  <c r="R22" i="3" s="1"/>
  <c r="P10" i="3"/>
  <c r="O10" i="3"/>
  <c r="V10" i="3" s="1"/>
  <c r="V22" i="3" s="1"/>
  <c r="F10" i="2"/>
  <c r="F15" i="2" s="1"/>
  <c r="F20" i="2" s="1"/>
  <c r="F25" i="2" s="1"/>
  <c r="F9" i="2"/>
  <c r="F14" i="2" s="1"/>
  <c r="F19" i="2" s="1"/>
  <c r="F24" i="2" s="1"/>
  <c r="F8" i="2"/>
  <c r="F13" i="2" s="1"/>
  <c r="F18" i="2" s="1"/>
  <c r="F23" i="2" s="1"/>
  <c r="G7" i="2"/>
  <c r="G8" i="2" s="1"/>
  <c r="G13" i="2" s="1"/>
  <c r="F7" i="2"/>
  <c r="F12" i="2" s="1"/>
  <c r="F17" i="2" s="1"/>
  <c r="F22" i="2" s="1"/>
  <c r="E7" i="2"/>
  <c r="E10" i="2" s="1"/>
  <c r="D7" i="2"/>
  <c r="D10" i="2" s="1"/>
  <c r="C7" i="2"/>
  <c r="C10" i="2" s="1"/>
  <c r="B7" i="2"/>
  <c r="B12" i="2" s="1"/>
  <c r="B17" i="2" s="1"/>
  <c r="B22" i="2" s="1"/>
  <c r="G15" i="1"/>
  <c r="G21" i="1" s="1"/>
  <c r="G27" i="1" s="1"/>
  <c r="E15" i="1"/>
  <c r="E21" i="1" s="1"/>
  <c r="E27" i="1" s="1"/>
  <c r="D15" i="1"/>
  <c r="D21" i="1" s="1"/>
  <c r="D27" i="1" s="1"/>
  <c r="C15" i="1"/>
  <c r="C21" i="1" s="1"/>
  <c r="C27" i="1" s="1"/>
  <c r="B15" i="1"/>
  <c r="B21" i="1" s="1"/>
  <c r="B27" i="1" s="1"/>
  <c r="G12" i="1"/>
  <c r="E12" i="1"/>
  <c r="D12" i="1"/>
  <c r="C12" i="1"/>
  <c r="B12" i="1"/>
  <c r="B18" i="1" s="1"/>
  <c r="B24" i="1" s="1"/>
  <c r="B30" i="1" s="1"/>
  <c r="G11" i="1"/>
  <c r="E11" i="1"/>
  <c r="D11" i="1"/>
  <c r="C11" i="1"/>
  <c r="B11" i="1"/>
  <c r="B17" i="1" s="1"/>
  <c r="B23" i="1" s="1"/>
  <c r="B29" i="1" s="1"/>
  <c r="G10" i="1"/>
  <c r="G16" i="1" s="1"/>
  <c r="E10" i="1"/>
  <c r="E16" i="1" s="1"/>
  <c r="D10" i="1"/>
  <c r="D16" i="1" s="1"/>
  <c r="C10" i="1"/>
  <c r="C16" i="1" s="1"/>
  <c r="C17" i="1" s="1"/>
  <c r="C23" i="1" s="1"/>
  <c r="C29" i="1" s="1"/>
  <c r="B10" i="1"/>
  <c r="B16" i="1" s="1"/>
  <c r="B22" i="1" s="1"/>
  <c r="B28" i="1" s="1"/>
  <c r="R11" i="3" l="1"/>
  <c r="R23" i="3" s="1"/>
  <c r="W22" i="3"/>
  <c r="P17" i="3"/>
  <c r="W17" i="3" s="1"/>
  <c r="W29" i="3" s="1"/>
  <c r="K17" i="3"/>
  <c r="R17" i="3" s="1"/>
  <c r="R29" i="3" s="1"/>
  <c r="R41" i="3" s="1"/>
  <c r="P18" i="3"/>
  <c r="M17" i="3"/>
  <c r="T17" i="3" s="1"/>
  <c r="T29" i="3" s="1"/>
  <c r="T41" i="3" s="1"/>
  <c r="D8" i="2"/>
  <c r="D13" i="2" s="1"/>
  <c r="C9" i="2"/>
  <c r="D9" i="2"/>
  <c r="E18" i="1"/>
  <c r="E17" i="1"/>
  <c r="E23" i="1" s="1"/>
  <c r="E29" i="1"/>
  <c r="E24" i="1"/>
  <c r="E30" i="1" s="1"/>
  <c r="G12" i="2"/>
  <c r="T35" i="3"/>
  <c r="W41" i="3"/>
  <c r="T34" i="3"/>
  <c r="W40" i="3"/>
  <c r="G22" i="1"/>
  <c r="G28" i="1" s="1"/>
  <c r="G17" i="1"/>
  <c r="G23" i="1" s="1"/>
  <c r="G18" i="1"/>
  <c r="U35" i="3"/>
  <c r="W23" i="3"/>
  <c r="D15" i="2"/>
  <c r="G10" i="2"/>
  <c r="G15" i="2" s="1"/>
  <c r="E22" i="1"/>
  <c r="E28" i="1" s="1"/>
  <c r="C8" i="2"/>
  <c r="C13" i="2" s="1"/>
  <c r="U37" i="3"/>
  <c r="G9" i="2"/>
  <c r="G14" i="2" s="1"/>
  <c r="G19" i="2" s="1"/>
  <c r="D12" i="2"/>
  <c r="W24" i="3"/>
  <c r="C22" i="1"/>
  <c r="C28" i="1" s="1"/>
  <c r="D22" i="1"/>
  <c r="D28" i="1" s="1"/>
  <c r="D18" i="1"/>
  <c r="D17" i="1"/>
  <c r="D23" i="1" s="1"/>
  <c r="C18" i="1"/>
  <c r="C24" i="1" s="1"/>
  <c r="C30" i="1" s="1"/>
  <c r="E8" i="2"/>
  <c r="E13" i="2" s="1"/>
  <c r="E9" i="2"/>
  <c r="K18" i="3"/>
  <c r="R18" i="3" s="1"/>
  <c r="R30" i="3" s="1"/>
  <c r="R42" i="3" s="1"/>
  <c r="L17" i="3"/>
  <c r="L18" i="3"/>
  <c r="B8" i="2"/>
  <c r="B13" i="2" s="1"/>
  <c r="B18" i="2" s="1"/>
  <c r="B23" i="2" s="1"/>
  <c r="B9" i="2"/>
  <c r="B14" i="2" s="1"/>
  <c r="B19" i="2" s="1"/>
  <c r="B24" i="2" s="1"/>
  <c r="B10" i="2"/>
  <c r="B15" i="2" s="1"/>
  <c r="B20" i="2" s="1"/>
  <c r="B25" i="2" s="1"/>
  <c r="D14" i="2" l="1"/>
  <c r="D19" i="2" s="1"/>
  <c r="G17" i="2"/>
  <c r="G20" i="2"/>
  <c r="G25" i="2" s="1"/>
  <c r="G18" i="2"/>
  <c r="S12" i="3"/>
  <c r="S18" i="3" s="1"/>
  <c r="S30" i="3" s="1"/>
  <c r="S42" i="3" s="1"/>
  <c r="C18" i="2"/>
  <c r="C23" i="2" s="1"/>
  <c r="C15" i="2"/>
  <c r="C20" i="2" s="1"/>
  <c r="C25" i="2" s="1"/>
  <c r="C14" i="2"/>
  <c r="C19" i="2" s="1"/>
  <c r="C24" i="2" s="1"/>
  <c r="C12" i="2"/>
  <c r="C17" i="2" s="1"/>
  <c r="C22" i="2" s="1"/>
  <c r="G24" i="1"/>
  <c r="G30" i="1" s="1"/>
  <c r="G36" i="1" s="1"/>
  <c r="G29" i="1"/>
  <c r="D29" i="1"/>
  <c r="D24" i="1"/>
  <c r="D30" i="1" s="1"/>
  <c r="S17" i="3"/>
  <c r="S29" i="3" s="1"/>
  <c r="S13" i="3"/>
  <c r="E15" i="2"/>
  <c r="E14" i="2"/>
  <c r="E19" i="2" s="1"/>
  <c r="E12" i="2"/>
  <c r="D24" i="2" l="1"/>
  <c r="D20" i="2"/>
  <c r="D25" i="2" s="1"/>
  <c r="D18" i="2"/>
  <c r="D23" i="2" s="1"/>
  <c r="D17" i="2"/>
  <c r="D22" i="2" s="1"/>
  <c r="E20" i="2"/>
  <c r="E25" i="2" s="1"/>
  <c r="E18" i="2"/>
  <c r="E17" i="2"/>
  <c r="G35" i="1"/>
  <c r="G34" i="1" s="1"/>
  <c r="G33" i="1" s="1"/>
  <c r="S24" i="3"/>
  <c r="W18" i="3"/>
  <c r="W30" i="3" s="1"/>
  <c r="T18" i="3"/>
  <c r="T30" i="3" s="1"/>
  <c r="U18" i="3"/>
  <c r="U30" i="3" s="1"/>
  <c r="U42" i="3" s="1"/>
  <c r="S25" i="3"/>
  <c r="W19" i="3"/>
  <c r="U19" i="3"/>
  <c r="T19" i="3"/>
  <c r="S19" i="3"/>
  <c r="S31" i="3" s="1"/>
  <c r="S43" i="3" s="1"/>
  <c r="G31" i="2"/>
  <c r="G24" i="2"/>
  <c r="G30" i="2" s="1"/>
  <c r="G22" i="2"/>
  <c r="G28" i="2" s="1"/>
  <c r="G23" i="2"/>
  <c r="G29" i="2" s="1"/>
  <c r="T25" i="3" l="1"/>
  <c r="U31" i="3" s="1"/>
  <c r="T31" i="3"/>
  <c r="T43" i="3" s="1"/>
  <c r="T36" i="3"/>
  <c r="W42" i="3"/>
  <c r="E24" i="2"/>
  <c r="E23" i="2"/>
  <c r="E22" i="2"/>
  <c r="W31" i="3" l="1"/>
  <c r="W43" i="3" l="1"/>
  <c r="T37" i="3"/>
  <c r="U43" i="3" s="1"/>
  <c r="W50" i="3" l="1"/>
  <c r="T42" i="3"/>
  <c r="W49" i="3" l="1"/>
  <c r="S41" i="3"/>
  <c r="W48" i="3" l="1"/>
  <c r="R40" i="3"/>
  <c r="W47" i="3" s="1"/>
</calcChain>
</file>

<file path=xl/sharedStrings.xml><?xml version="1.0" encoding="utf-8"?>
<sst xmlns="http://schemas.openxmlformats.org/spreadsheetml/2006/main" count="122" uniqueCount="72">
  <si>
    <t>No.1  Gauss Elimination method</t>
  </si>
  <si>
    <t>r1</t>
  </si>
  <si>
    <t>x1</t>
  </si>
  <si>
    <t>r2</t>
  </si>
  <si>
    <t>x2</t>
  </si>
  <si>
    <t>r3</t>
  </si>
  <si>
    <t>x3</t>
  </si>
  <si>
    <t>r4</t>
  </si>
  <si>
    <t>x4</t>
  </si>
  <si>
    <t>r1(-2) + r2</t>
  </si>
  <si>
    <t>r1(-2) + r3</t>
  </si>
  <si>
    <t>r1(1) + r4</t>
  </si>
  <si>
    <t>r2/-8</t>
  </si>
  <si>
    <t>r2(3) + r3</t>
  </si>
  <si>
    <t>r2(-4) + r4</t>
  </si>
  <si>
    <t>r3/-4.875</t>
  </si>
  <si>
    <t>r3(-1.5) + r4</t>
  </si>
  <si>
    <t>r4/-5.538461538</t>
  </si>
  <si>
    <t>r1/5</t>
  </si>
  <si>
    <t>r1(-1) + r3</t>
  </si>
  <si>
    <t>r1(-3) + r4</t>
  </si>
  <si>
    <t>r2(-0.6) + r1</t>
  </si>
  <si>
    <t>r2/-4.2</t>
  </si>
  <si>
    <t>r2(-1.4) + r3</t>
  </si>
  <si>
    <t>r2(-2.2) + r4</t>
  </si>
  <si>
    <t>r3(-0.8571428571) + r1</t>
  </si>
  <si>
    <t>r3(0.7619047619) + r2</t>
  </si>
  <si>
    <t>r3/-1.333333333</t>
  </si>
  <si>
    <t>r3(-2.476190476) + r4</t>
  </si>
  <si>
    <t>r4(4.428571429) + r1</t>
  </si>
  <si>
    <t>r4(-4.714285715) + r2</t>
  </si>
  <si>
    <t>r4(-4.500000001) + r3</t>
  </si>
  <si>
    <t>r4/-13.57142857</t>
  </si>
  <si>
    <t>−24 + 3i1 ​+ 4(i1​ − i2​) + 2(i1 ​− i3​) = 0</t>
  </si>
  <si>
    <t>2(i3 ​− i1​) + 6(i3​ − i2​) + 6(i3​ − i4​) = 0</t>
  </si>
  <si>
    <t>(3 + 4 + 2)i1 ​− 4i2​ − 2i3​ = 24</t>
  </si>
  <si>
    <t>−2i1​ − 6i2​ + (2 + 6 + 6)i3​ − 6i4​ = 0</t>
  </si>
  <si>
    <t>9i1​−4i2​−2i3​=24</t>
  </si>
  <si>
    <t>−2i1​ − 6i2​ + 14i3​ − 6i4​ = 0</t>
  </si>
  <si>
    <t>i1</t>
  </si>
  <si>
    <t>−4i1 ​+ 17i2​ − 6i3​ − 3i4​ = 16</t>
  </si>
  <si>
    <t>i2</t>
  </si>
  <si>
    <t>i3</t>
  </si>
  <si>
    <t>−16 + 4(i2 ​− i1​) + 6(i2 ​− i3​) + 3(i2 ​− i4​) = 0</t>
  </si>
  <si>
    <t>−18 + 2i4 ​+ 6(i4 ​− i3​) + 3(i4​ − i2​) = 0</t>
  </si>
  <si>
    <t>−3i2​ - 6i3​ + 11i4 ​= 18</t>
  </si>
  <si>
    <t>i4</t>
  </si>
  <si>
    <t>(−16) + (4 + 6 + 3+ 4 )i2 ​− 4i1 ​− 6i3​ − 3i4​ = 0</t>
  </si>
  <si>
    <t>−18 + (2 + 6+ 3)i4 ​− 6i3​ − 3i2 ​= 0</t>
  </si>
  <si>
    <t>Lower</t>
  </si>
  <si>
    <t>R2/R1</t>
  </si>
  <si>
    <t>R3/R1</t>
  </si>
  <si>
    <t>R3/R2</t>
  </si>
  <si>
    <t>R5/R2</t>
  </si>
  <si>
    <t>Upper</t>
  </si>
  <si>
    <t>r2-(-0.44) * R1</t>
  </si>
  <si>
    <t>r3-(-0.22) * R1</t>
  </si>
  <si>
    <t>R3-(-0.45255)*R2</t>
  </si>
  <si>
    <t>R4-(-0.19708)*R2</t>
  </si>
  <si>
    <t>R4/R3</t>
  </si>
  <si>
    <t>R4-(-0.7049)*R3</t>
  </si>
  <si>
    <t>C</t>
  </si>
  <si>
    <t>y1</t>
  </si>
  <si>
    <t>y1 = 24</t>
  </si>
  <si>
    <t>y2</t>
  </si>
  <si>
    <t>y2 = -16 -(-0.4444*y1)</t>
  </si>
  <si>
    <t>y3</t>
  </si>
  <si>
    <t>y3 = -(-0.22222*y1)-(-0.61386*y2)</t>
  </si>
  <si>
    <t>y4</t>
  </si>
  <si>
    <t>y4 = 18 + (0.19708*y2) + (0.7049*y3)</t>
  </si>
  <si>
    <t>FINAL</t>
  </si>
  <si>
    <t>GAUSS-JORDAN ELIMINATION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</si>
</sst>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&quot;Aptos Narrow&quot;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3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2" fontId="1" fillId="0" borderId="4" xfId="0" applyNumberFormat="1" applyFont="1" applyFill="1" applyBorder="1" applyAlignment="1">
      <alignment horizontal="center" vertical="center"/>
    </xf>
    <xf numFmtId="2" fontId="1" fillId="0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87"/>
  <sheetViews>
    <sheetView workbookViewId="0">
      <selection activeCell="H40" sqref="H40:H41"/>
    </sheetView>
  </sheetViews>
  <sheetFormatPr defaultColWidth="12.5703125" defaultRowHeight="15.75" customHeight="1"/>
  <cols>
    <col min="2" max="2" width="14.42578125" bestFit="1" customWidth="1"/>
    <col min="6" max="6" width="14.7109375" customWidth="1"/>
  </cols>
  <sheetData>
    <row r="1" spans="1:10">
      <c r="A1" s="13" t="s">
        <v>0</v>
      </c>
      <c r="B1" s="13"/>
      <c r="C1" s="13"/>
      <c r="D1" s="13"/>
      <c r="E1" s="13"/>
      <c r="F1" s="13"/>
      <c r="G1" s="13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17" t="s">
        <v>1</v>
      </c>
      <c r="B3" s="18">
        <v>1</v>
      </c>
      <c r="C3" s="17">
        <v>2</v>
      </c>
      <c r="D3" s="17">
        <v>2</v>
      </c>
      <c r="E3" s="19">
        <v>1</v>
      </c>
      <c r="F3" s="19" t="s">
        <v>2</v>
      </c>
      <c r="G3" s="20">
        <v>17</v>
      </c>
      <c r="H3" s="1"/>
      <c r="I3" s="1"/>
      <c r="J3" s="1"/>
    </row>
    <row r="4" spans="1:10">
      <c r="A4" s="17" t="s">
        <v>3</v>
      </c>
      <c r="B4" s="18">
        <v>2</v>
      </c>
      <c r="C4" s="17">
        <v>-4</v>
      </c>
      <c r="D4" s="17">
        <v>1</v>
      </c>
      <c r="E4" s="19">
        <v>-5</v>
      </c>
      <c r="F4" s="19" t="s">
        <v>4</v>
      </c>
      <c r="G4" s="20">
        <v>8</v>
      </c>
      <c r="H4" s="1"/>
      <c r="I4" s="1"/>
      <c r="J4" s="1"/>
    </row>
    <row r="5" spans="1:10">
      <c r="A5" s="17" t="s">
        <v>5</v>
      </c>
      <c r="B5" s="18">
        <v>2</v>
      </c>
      <c r="C5" s="17">
        <v>1</v>
      </c>
      <c r="D5" s="17">
        <v>-2</v>
      </c>
      <c r="E5" s="19">
        <v>-4</v>
      </c>
      <c r="F5" s="19" t="s">
        <v>6</v>
      </c>
      <c r="G5" s="20">
        <v>10</v>
      </c>
      <c r="H5" s="1"/>
      <c r="I5" s="1"/>
      <c r="J5" s="1"/>
    </row>
    <row r="6" spans="1:10">
      <c r="A6" s="17" t="s">
        <v>7</v>
      </c>
      <c r="B6" s="18">
        <v>-1</v>
      </c>
      <c r="C6" s="17">
        <v>2</v>
      </c>
      <c r="D6" s="17">
        <v>1</v>
      </c>
      <c r="E6" s="19">
        <v>-2</v>
      </c>
      <c r="F6" s="19" t="s">
        <v>8</v>
      </c>
      <c r="G6" s="20">
        <v>17</v>
      </c>
      <c r="H6" s="1"/>
      <c r="I6" s="1"/>
      <c r="J6" s="1"/>
    </row>
    <row r="7" spans="1:10">
      <c r="A7" s="17"/>
      <c r="B7" s="17"/>
      <c r="C7" s="17"/>
      <c r="D7" s="17"/>
      <c r="E7" s="17"/>
      <c r="F7" s="17"/>
      <c r="G7" s="17"/>
      <c r="H7" s="3"/>
      <c r="I7" s="1"/>
      <c r="J7" s="1"/>
    </row>
    <row r="8" spans="1:10">
      <c r="A8" s="17"/>
      <c r="B8" s="17"/>
      <c r="C8" s="17"/>
      <c r="D8" s="17"/>
      <c r="E8" s="17"/>
      <c r="F8" s="17"/>
      <c r="G8" s="17"/>
      <c r="H8" s="3"/>
      <c r="I8" s="3"/>
      <c r="J8" s="1"/>
    </row>
    <row r="9" spans="1:10">
      <c r="A9" s="17" t="s">
        <v>1</v>
      </c>
      <c r="B9" s="18">
        <v>1</v>
      </c>
      <c r="C9" s="17">
        <v>2</v>
      </c>
      <c r="D9" s="17">
        <v>2</v>
      </c>
      <c r="E9" s="17">
        <v>1</v>
      </c>
      <c r="F9" s="19" t="s">
        <v>2</v>
      </c>
      <c r="G9" s="20">
        <v>17</v>
      </c>
      <c r="H9" s="3"/>
      <c r="I9" s="3"/>
      <c r="J9" s="1"/>
    </row>
    <row r="10" spans="1:10">
      <c r="A10" s="17" t="s">
        <v>9</v>
      </c>
      <c r="B10" s="18">
        <f t="shared" ref="B10:E10" si="0">(B3*(-2))+B4</f>
        <v>0</v>
      </c>
      <c r="C10" s="17">
        <f t="shared" si="0"/>
        <v>-8</v>
      </c>
      <c r="D10" s="17">
        <f t="shared" si="0"/>
        <v>-3</v>
      </c>
      <c r="E10" s="17">
        <f t="shared" si="0"/>
        <v>-7</v>
      </c>
      <c r="F10" s="19" t="s">
        <v>4</v>
      </c>
      <c r="G10" s="20">
        <f>(G3*(-2))+G4</f>
        <v>-26</v>
      </c>
      <c r="H10" s="3"/>
      <c r="I10" s="3"/>
      <c r="J10" s="1"/>
    </row>
    <row r="11" spans="1:10">
      <c r="A11" s="17" t="s">
        <v>10</v>
      </c>
      <c r="B11" s="18">
        <f t="shared" ref="B11:E11" si="1">(B9*(-2))+B5</f>
        <v>0</v>
      </c>
      <c r="C11" s="17">
        <f t="shared" si="1"/>
        <v>-3</v>
      </c>
      <c r="D11" s="17">
        <f t="shared" si="1"/>
        <v>-6</v>
      </c>
      <c r="E11" s="17">
        <f t="shared" si="1"/>
        <v>-6</v>
      </c>
      <c r="F11" s="19" t="s">
        <v>6</v>
      </c>
      <c r="G11" s="20">
        <f>(G9*(-2))+G5</f>
        <v>-24</v>
      </c>
      <c r="H11" s="1"/>
      <c r="I11" s="1"/>
      <c r="J11" s="1"/>
    </row>
    <row r="12" spans="1:10">
      <c r="A12" s="17" t="s">
        <v>11</v>
      </c>
      <c r="B12" s="18">
        <f t="shared" ref="B12:E12" si="2">(B9*(1))+B6</f>
        <v>0</v>
      </c>
      <c r="C12" s="17">
        <f t="shared" si="2"/>
        <v>4</v>
      </c>
      <c r="D12" s="17">
        <f t="shared" si="2"/>
        <v>3</v>
      </c>
      <c r="E12" s="17">
        <f t="shared" si="2"/>
        <v>-1</v>
      </c>
      <c r="F12" s="19" t="s">
        <v>8</v>
      </c>
      <c r="G12" s="20">
        <f>(G9*(1))+G6</f>
        <v>34</v>
      </c>
      <c r="H12" s="1"/>
      <c r="I12" s="1"/>
      <c r="J12" s="1"/>
    </row>
    <row r="13" spans="1:10">
      <c r="A13" s="17"/>
      <c r="B13" s="17"/>
      <c r="C13" s="17"/>
      <c r="D13" s="17"/>
      <c r="E13" s="17"/>
      <c r="F13" s="17"/>
      <c r="G13" s="17"/>
      <c r="H13" s="3"/>
      <c r="I13" s="1"/>
      <c r="J13" s="1"/>
    </row>
    <row r="14" spans="1:10">
      <c r="A14" s="17"/>
      <c r="B14" s="17"/>
      <c r="C14" s="17"/>
      <c r="D14" s="17"/>
      <c r="E14" s="17"/>
      <c r="F14" s="17"/>
      <c r="G14" s="17"/>
      <c r="H14" s="3"/>
      <c r="I14" s="1"/>
      <c r="J14" s="1"/>
    </row>
    <row r="15" spans="1:10">
      <c r="A15" s="17" t="s">
        <v>1</v>
      </c>
      <c r="B15" s="18">
        <f t="shared" ref="B15:G15" si="3">B9</f>
        <v>1</v>
      </c>
      <c r="C15" s="17">
        <f t="shared" si="3"/>
        <v>2</v>
      </c>
      <c r="D15" s="17">
        <f t="shared" si="3"/>
        <v>2</v>
      </c>
      <c r="E15" s="17">
        <f t="shared" si="3"/>
        <v>1</v>
      </c>
      <c r="F15" s="19" t="s">
        <v>2</v>
      </c>
      <c r="G15" s="20">
        <f t="shared" si="3"/>
        <v>17</v>
      </c>
      <c r="H15" s="3"/>
      <c r="I15" s="3"/>
      <c r="J15" s="1"/>
    </row>
    <row r="16" spans="1:10">
      <c r="A16" s="17" t="s">
        <v>12</v>
      </c>
      <c r="B16" s="18">
        <f t="shared" ref="B16:B18" si="4">B10</f>
        <v>0</v>
      </c>
      <c r="C16" s="17">
        <f t="shared" ref="C16:E16" si="5">C10/-8</f>
        <v>1</v>
      </c>
      <c r="D16" s="17">
        <f t="shared" si="5"/>
        <v>0.375</v>
      </c>
      <c r="E16" s="17">
        <f t="shared" si="5"/>
        <v>0.875</v>
      </c>
      <c r="F16" s="19" t="s">
        <v>4</v>
      </c>
      <c r="G16" s="20">
        <f>G10/-8</f>
        <v>3.25</v>
      </c>
      <c r="H16" s="3"/>
      <c r="I16" s="3"/>
      <c r="J16" s="1"/>
    </row>
    <row r="17" spans="1:10">
      <c r="A17" s="17" t="s">
        <v>13</v>
      </c>
      <c r="B17" s="18">
        <f t="shared" si="4"/>
        <v>0</v>
      </c>
      <c r="C17" s="17">
        <f t="shared" ref="C17:E17" si="6">(C16*(3))+C11</f>
        <v>0</v>
      </c>
      <c r="D17" s="17">
        <f t="shared" si="6"/>
        <v>-4.875</v>
      </c>
      <c r="E17" s="17">
        <f t="shared" si="6"/>
        <v>-3.375</v>
      </c>
      <c r="F17" s="19" t="s">
        <v>6</v>
      </c>
      <c r="G17" s="20">
        <f>(G16*(3))+G11</f>
        <v>-14.25</v>
      </c>
      <c r="H17" s="1"/>
      <c r="I17" s="1"/>
      <c r="J17" s="1"/>
    </row>
    <row r="18" spans="1:10">
      <c r="A18" s="17" t="s">
        <v>14</v>
      </c>
      <c r="B18" s="18">
        <f t="shared" si="4"/>
        <v>0</v>
      </c>
      <c r="C18" s="17">
        <f t="shared" ref="C18:E18" si="7">(C16*(-4))+C12</f>
        <v>0</v>
      </c>
      <c r="D18" s="17">
        <f t="shared" si="7"/>
        <v>1.5</v>
      </c>
      <c r="E18" s="17">
        <f t="shared" si="7"/>
        <v>-4.5</v>
      </c>
      <c r="F18" s="19" t="s">
        <v>8</v>
      </c>
      <c r="G18" s="20">
        <f>(G16*(-4))+G12</f>
        <v>21</v>
      </c>
      <c r="H18" s="3"/>
      <c r="I18" s="1"/>
      <c r="J18" s="1"/>
    </row>
    <row r="19" spans="1:10">
      <c r="A19" s="17"/>
      <c r="B19" s="17"/>
      <c r="C19" s="17"/>
      <c r="D19" s="17"/>
      <c r="E19" s="17"/>
      <c r="F19" s="17"/>
      <c r="G19" s="17"/>
      <c r="H19" s="1"/>
      <c r="I19" s="1"/>
      <c r="J19" s="1"/>
    </row>
    <row r="20" spans="1:10">
      <c r="A20" s="17"/>
      <c r="B20" s="17"/>
      <c r="C20" s="17"/>
      <c r="D20" s="17"/>
      <c r="E20" s="17"/>
      <c r="F20" s="17"/>
      <c r="G20" s="17"/>
      <c r="H20" s="1"/>
      <c r="I20" s="2"/>
      <c r="J20" s="1"/>
    </row>
    <row r="21" spans="1:10">
      <c r="A21" s="17" t="s">
        <v>1</v>
      </c>
      <c r="B21" s="18">
        <f t="shared" ref="B21:G21" si="8">B15</f>
        <v>1</v>
      </c>
      <c r="C21" s="17">
        <f t="shared" si="8"/>
        <v>2</v>
      </c>
      <c r="D21" s="17">
        <f t="shared" si="8"/>
        <v>2</v>
      </c>
      <c r="E21" s="17">
        <f t="shared" si="8"/>
        <v>1</v>
      </c>
      <c r="F21" s="19" t="s">
        <v>2</v>
      </c>
      <c r="G21" s="20">
        <f t="shared" si="8"/>
        <v>17</v>
      </c>
      <c r="H21" s="1"/>
      <c r="I21" s="3"/>
      <c r="J21" s="1"/>
    </row>
    <row r="22" spans="1:10">
      <c r="A22" s="17" t="s">
        <v>3</v>
      </c>
      <c r="B22" s="18">
        <f t="shared" ref="B22:G22" si="9">B16</f>
        <v>0</v>
      </c>
      <c r="C22" s="17">
        <f t="shared" si="9"/>
        <v>1</v>
      </c>
      <c r="D22" s="17">
        <f t="shared" si="9"/>
        <v>0.375</v>
      </c>
      <c r="E22" s="17">
        <f t="shared" si="9"/>
        <v>0.875</v>
      </c>
      <c r="F22" s="19" t="s">
        <v>4</v>
      </c>
      <c r="G22" s="20">
        <f t="shared" si="9"/>
        <v>3.25</v>
      </c>
      <c r="H22" s="1"/>
      <c r="I22" s="1"/>
      <c r="J22" s="1"/>
    </row>
    <row r="23" spans="1:10">
      <c r="A23" s="17" t="s">
        <v>15</v>
      </c>
      <c r="B23" s="18">
        <f t="shared" ref="B23:C23" si="10">B17</f>
        <v>0</v>
      </c>
      <c r="C23" s="17">
        <f t="shared" si="10"/>
        <v>0</v>
      </c>
      <c r="D23" s="17">
        <f t="shared" ref="D23:E23" si="11">D17/-4.875</f>
        <v>1</v>
      </c>
      <c r="E23" s="17">
        <f t="shared" si="11"/>
        <v>0.69230769230769229</v>
      </c>
      <c r="F23" s="19" t="s">
        <v>6</v>
      </c>
      <c r="G23" s="20">
        <f>G17/-4.875</f>
        <v>2.9230769230769229</v>
      </c>
      <c r="H23" s="1"/>
      <c r="I23" s="1"/>
      <c r="J23" s="1"/>
    </row>
    <row r="24" spans="1:10">
      <c r="A24" s="17" t="s">
        <v>16</v>
      </c>
      <c r="B24" s="18">
        <f t="shared" ref="B24:C24" si="12">B18</f>
        <v>0</v>
      </c>
      <c r="C24" s="17">
        <f t="shared" si="12"/>
        <v>0</v>
      </c>
      <c r="D24" s="17">
        <f t="shared" ref="D24:E24" si="13">(D23*(-1.5))+D18</f>
        <v>0</v>
      </c>
      <c r="E24" s="17">
        <f t="shared" si="13"/>
        <v>-5.5384615384615383</v>
      </c>
      <c r="F24" s="19" t="s">
        <v>8</v>
      </c>
      <c r="G24" s="20">
        <f>(G23*(-1.5))+G18</f>
        <v>16.615384615384617</v>
      </c>
      <c r="H24" s="1"/>
      <c r="I24" s="1"/>
      <c r="J24" s="1"/>
    </row>
    <row r="25" spans="1:10">
      <c r="A25" s="17"/>
      <c r="B25" s="17"/>
      <c r="C25" s="17"/>
      <c r="D25" s="17"/>
      <c r="E25" s="17"/>
      <c r="F25" s="17"/>
      <c r="G25" s="17"/>
      <c r="H25" s="1"/>
      <c r="I25" s="1"/>
      <c r="J25" s="1"/>
    </row>
    <row r="26" spans="1:10">
      <c r="A26" s="17"/>
      <c r="B26" s="17"/>
      <c r="C26" s="17"/>
      <c r="D26" s="17"/>
      <c r="E26" s="17"/>
      <c r="F26" s="17"/>
      <c r="G26" s="17"/>
      <c r="H26" s="1"/>
      <c r="I26" s="1"/>
      <c r="J26" s="1"/>
    </row>
    <row r="27" spans="1:10">
      <c r="A27" s="17" t="s">
        <v>1</v>
      </c>
      <c r="B27" s="18">
        <f t="shared" ref="B27:G27" si="14">B21</f>
        <v>1</v>
      </c>
      <c r="C27" s="17">
        <f t="shared" si="14"/>
        <v>2</v>
      </c>
      <c r="D27" s="17">
        <f t="shared" si="14"/>
        <v>2</v>
      </c>
      <c r="E27" s="17">
        <f t="shared" si="14"/>
        <v>1</v>
      </c>
      <c r="F27" s="19" t="s">
        <v>2</v>
      </c>
      <c r="G27" s="20">
        <f t="shared" si="14"/>
        <v>17</v>
      </c>
      <c r="H27" s="1"/>
      <c r="I27" s="1"/>
      <c r="J27" s="1"/>
    </row>
    <row r="28" spans="1:10">
      <c r="A28" s="17" t="s">
        <v>3</v>
      </c>
      <c r="B28" s="18">
        <f t="shared" ref="B28:G28" si="15">B22</f>
        <v>0</v>
      </c>
      <c r="C28" s="17">
        <f t="shared" si="15"/>
        <v>1</v>
      </c>
      <c r="D28" s="17">
        <f t="shared" si="15"/>
        <v>0.375</v>
      </c>
      <c r="E28" s="17">
        <f t="shared" si="15"/>
        <v>0.875</v>
      </c>
      <c r="F28" s="19" t="s">
        <v>4</v>
      </c>
      <c r="G28" s="20">
        <f t="shared" si="15"/>
        <v>3.25</v>
      </c>
      <c r="H28" s="1"/>
      <c r="I28" s="1"/>
      <c r="J28" s="1"/>
    </row>
    <row r="29" spans="1:10">
      <c r="A29" s="17" t="s">
        <v>5</v>
      </c>
      <c r="B29" s="18">
        <f t="shared" ref="B29:G29" si="16">B23</f>
        <v>0</v>
      </c>
      <c r="C29" s="17">
        <f t="shared" si="16"/>
        <v>0</v>
      </c>
      <c r="D29" s="17">
        <f t="shared" si="16"/>
        <v>1</v>
      </c>
      <c r="E29" s="17">
        <f t="shared" si="16"/>
        <v>0.69230769230769229</v>
      </c>
      <c r="F29" s="19" t="s">
        <v>6</v>
      </c>
      <c r="G29" s="20">
        <f t="shared" si="16"/>
        <v>2.9230769230769229</v>
      </c>
      <c r="H29" s="1"/>
      <c r="I29" s="1"/>
      <c r="J29" s="1"/>
    </row>
    <row r="30" spans="1:10">
      <c r="A30" s="11" t="s">
        <v>17</v>
      </c>
      <c r="B30" s="18">
        <f t="shared" ref="B30:D30" si="17">B24</f>
        <v>0</v>
      </c>
      <c r="C30" s="17">
        <f t="shared" si="17"/>
        <v>0</v>
      </c>
      <c r="D30" s="17">
        <f t="shared" si="17"/>
        <v>0</v>
      </c>
      <c r="E30" s="17">
        <f>E24/-5.538461538</f>
        <v>1.0000000000833333</v>
      </c>
      <c r="F30" s="19" t="s">
        <v>8</v>
      </c>
      <c r="G30" s="20">
        <f>G24/-5.538461538</f>
        <v>-3.0000000002500005</v>
      </c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21" t="s">
        <v>70</v>
      </c>
      <c r="G32" s="21"/>
      <c r="H32" s="1"/>
      <c r="I32" s="1"/>
      <c r="J32" s="1"/>
    </row>
    <row r="33" spans="1:10">
      <c r="A33" s="1"/>
      <c r="B33" s="1"/>
      <c r="C33" s="1"/>
      <c r="D33" s="1"/>
      <c r="E33" s="1"/>
      <c r="F33" s="22" t="s">
        <v>2</v>
      </c>
      <c r="G33" s="22">
        <f>(G27-((G34*C27)+(G35*D27)+(G36*E27)))/B27</f>
        <v>1.9999999995961524</v>
      </c>
      <c r="H33" s="1"/>
      <c r="I33" s="1"/>
      <c r="J33" s="1"/>
    </row>
    <row r="34" spans="1:10">
      <c r="A34" s="1"/>
      <c r="B34" s="1"/>
      <c r="C34" s="1"/>
      <c r="D34" s="1"/>
      <c r="E34" s="1"/>
      <c r="F34" s="22" t="s">
        <v>4</v>
      </c>
      <c r="G34" s="22">
        <f>(G28-((G35*D28)+(G36*E28)))/C28</f>
        <v>4.0000000001538467</v>
      </c>
      <c r="H34" s="1"/>
      <c r="I34" s="1"/>
      <c r="J34" s="1"/>
    </row>
    <row r="35" spans="1:10">
      <c r="A35" s="1"/>
      <c r="B35" s="1"/>
      <c r="C35" s="1"/>
      <c r="D35" s="1"/>
      <c r="E35" s="1"/>
      <c r="F35" s="22" t="s">
        <v>6</v>
      </c>
      <c r="G35" s="22">
        <f>(G29-(G36*E29))/D29</f>
        <v>5.0000000001730776</v>
      </c>
      <c r="H35" s="1"/>
      <c r="I35" s="1"/>
      <c r="J35" s="1"/>
    </row>
    <row r="36" spans="1:10">
      <c r="A36" s="1"/>
      <c r="B36" s="1"/>
      <c r="C36" s="1"/>
      <c r="D36" s="1"/>
      <c r="E36" s="1"/>
      <c r="F36" s="22" t="s">
        <v>8</v>
      </c>
      <c r="G36" s="22">
        <f>G30</f>
        <v>-3.0000000002500005</v>
      </c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I39" s="1"/>
      <c r="J39" s="1"/>
    </row>
    <row r="40" spans="1:10">
      <c r="A40" s="1"/>
      <c r="I40" s="1"/>
      <c r="J40" s="1"/>
    </row>
    <row r="41" spans="1:10">
      <c r="A41" s="2"/>
      <c r="I41" s="1"/>
      <c r="J41" s="1"/>
    </row>
    <row r="42" spans="1:10">
      <c r="A42" s="2"/>
      <c r="I42" s="1"/>
      <c r="J42" s="1"/>
    </row>
    <row r="43" spans="1:10">
      <c r="A43" s="2"/>
      <c r="I43" s="1"/>
      <c r="J43" s="1"/>
    </row>
    <row r="44" spans="1:10">
      <c r="A44" s="2"/>
      <c r="I44" s="1"/>
      <c r="J44" s="1"/>
    </row>
    <row r="45" spans="1:10">
      <c r="A45" s="1"/>
      <c r="I45" s="1"/>
      <c r="J45" s="1"/>
    </row>
    <row r="46" spans="1:10">
      <c r="A46" s="1"/>
      <c r="I46" s="1"/>
      <c r="J46" s="1"/>
    </row>
    <row r="47" spans="1:10">
      <c r="A47" s="2"/>
      <c r="I47" s="1"/>
      <c r="J47" s="1"/>
    </row>
    <row r="48" spans="1:10">
      <c r="A48" s="2"/>
      <c r="I48" s="1"/>
      <c r="J48" s="1"/>
    </row>
    <row r="49" spans="1:10">
      <c r="A49" s="2"/>
      <c r="I49" s="1"/>
      <c r="J49" s="1"/>
    </row>
    <row r="50" spans="1:10">
      <c r="A50" s="2"/>
      <c r="I50" s="1"/>
      <c r="J50" s="1"/>
    </row>
    <row r="51" spans="1:10">
      <c r="A51" s="1"/>
      <c r="I51" s="1"/>
      <c r="J51" s="1"/>
    </row>
    <row r="52" spans="1:10">
      <c r="A52" s="1"/>
      <c r="I52" s="1"/>
      <c r="J52" s="1"/>
    </row>
    <row r="53" spans="1:10">
      <c r="A53" s="2"/>
      <c r="I53" s="1"/>
      <c r="J53" s="1"/>
    </row>
    <row r="54" spans="1:10">
      <c r="A54" s="2"/>
      <c r="I54" s="1"/>
      <c r="J54" s="1"/>
    </row>
    <row r="55" spans="1:10">
      <c r="A55" s="2"/>
      <c r="I55" s="1"/>
      <c r="J55" s="1"/>
    </row>
    <row r="56" spans="1:10">
      <c r="A56" s="2"/>
      <c r="I56" s="1"/>
      <c r="J56" s="1"/>
    </row>
    <row r="57" spans="1:10">
      <c r="A57" s="1"/>
      <c r="I57" s="1"/>
      <c r="J57" s="1"/>
    </row>
    <row r="58" spans="1:10">
      <c r="A58" s="1"/>
      <c r="I58" s="1"/>
      <c r="J58" s="1"/>
    </row>
    <row r="59" spans="1:10">
      <c r="A59" s="2"/>
      <c r="I59" s="1"/>
      <c r="J59" s="1"/>
    </row>
    <row r="60" spans="1:10">
      <c r="A60" s="2"/>
      <c r="I60" s="1"/>
      <c r="J60" s="1"/>
    </row>
    <row r="61" spans="1:10">
      <c r="A61" s="2"/>
      <c r="I61" s="1"/>
      <c r="J61" s="1"/>
    </row>
    <row r="62" spans="1:10">
      <c r="A62" s="2"/>
      <c r="I62" s="1"/>
      <c r="J62" s="1"/>
    </row>
    <row r="63" spans="1:10">
      <c r="A63" s="2"/>
      <c r="I63" s="1"/>
      <c r="J63" s="1"/>
    </row>
    <row r="64" spans="1:10">
      <c r="A64" s="1"/>
      <c r="I64" s="1"/>
      <c r="J64" s="1"/>
    </row>
    <row r="65" spans="1:10">
      <c r="A65" s="2"/>
      <c r="I65" s="1"/>
      <c r="J65" s="1"/>
    </row>
    <row r="66" spans="1:10">
      <c r="A66" s="2"/>
      <c r="I66" s="1"/>
      <c r="J66" s="1"/>
    </row>
    <row r="67" spans="1:10">
      <c r="A67" s="2"/>
      <c r="I67" s="1"/>
      <c r="J67" s="1"/>
    </row>
    <row r="68" spans="1:10">
      <c r="A68" s="2"/>
      <c r="I68" s="1"/>
      <c r="J68" s="1"/>
    </row>
    <row r="69" spans="1:10">
      <c r="A69" s="1"/>
      <c r="I69" s="1"/>
      <c r="J69" s="1"/>
    </row>
    <row r="70" spans="1:10">
      <c r="A70" s="1"/>
      <c r="I70" s="1"/>
      <c r="J70" s="1"/>
    </row>
    <row r="71" spans="1:10">
      <c r="A71" s="1"/>
      <c r="I71" s="1"/>
      <c r="J71" s="1"/>
    </row>
    <row r="72" spans="1:10">
      <c r="A72" s="1"/>
      <c r="I72" s="1"/>
      <c r="J72" s="1"/>
    </row>
    <row r="73" spans="1:10">
      <c r="A73" s="1"/>
      <c r="I73" s="1"/>
      <c r="J73" s="1"/>
    </row>
    <row r="74" spans="1:10">
      <c r="A74" s="1"/>
      <c r="I74" s="1"/>
      <c r="J74" s="1"/>
    </row>
    <row r="75" spans="1:10">
      <c r="A75" s="1"/>
      <c r="B75" s="1"/>
      <c r="C75" s="1"/>
      <c r="D75" s="1"/>
      <c r="E75" s="1"/>
      <c r="F75" s="1"/>
      <c r="G75" s="2"/>
      <c r="H75" s="2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>
      <c r="A987" s="1"/>
      <c r="B987" s="1"/>
      <c r="C987" s="1"/>
      <c r="D987" s="1"/>
      <c r="E987" s="1"/>
      <c r="F987" s="1"/>
      <c r="G987" s="1"/>
      <c r="H987" s="1"/>
      <c r="I987" s="1"/>
      <c r="J987" s="1"/>
    </row>
  </sheetData>
  <mergeCells count="2">
    <mergeCell ref="A1:G1"/>
    <mergeCell ref="F32:G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C35" sqref="C35"/>
    </sheetView>
  </sheetViews>
  <sheetFormatPr defaultColWidth="12.5703125" defaultRowHeight="15.75" customHeight="1"/>
  <cols>
    <col min="1" max="1" width="20" bestFit="1" customWidth="1"/>
  </cols>
  <sheetData>
    <row r="1" spans="1:26">
      <c r="A1" s="23" t="s">
        <v>71</v>
      </c>
      <c r="B1" s="23"/>
      <c r="C1" s="23"/>
      <c r="D1" s="23"/>
      <c r="E1" s="23"/>
      <c r="F1" s="23"/>
      <c r="G1" s="2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/>
      <c r="B2" s="5">
        <v>5</v>
      </c>
      <c r="C2" s="6">
        <v>3</v>
      </c>
      <c r="D2" s="6">
        <v>2</v>
      </c>
      <c r="E2" s="6">
        <v>1</v>
      </c>
      <c r="F2" s="7" t="s">
        <v>2</v>
      </c>
      <c r="G2" s="7">
        <v>27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/>
      <c r="B3" s="5">
        <v>2</v>
      </c>
      <c r="C3" s="6">
        <v>-3</v>
      </c>
      <c r="D3" s="6">
        <v>4</v>
      </c>
      <c r="E3" s="6">
        <v>-5</v>
      </c>
      <c r="F3" s="7" t="s">
        <v>4</v>
      </c>
      <c r="G3" s="7">
        <v>40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4"/>
      <c r="B4" s="5">
        <v>1</v>
      </c>
      <c r="C4" s="6">
        <v>2</v>
      </c>
      <c r="D4" s="6">
        <v>-2</v>
      </c>
      <c r="E4" s="6">
        <v>-4</v>
      </c>
      <c r="F4" s="7" t="s">
        <v>6</v>
      </c>
      <c r="G4" s="7">
        <v>13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"/>
      <c r="B5" s="5">
        <v>3</v>
      </c>
      <c r="C5" s="6">
        <v>4</v>
      </c>
      <c r="D5" s="6">
        <v>2</v>
      </c>
      <c r="E5" s="6">
        <v>1</v>
      </c>
      <c r="F5" s="7" t="s">
        <v>8</v>
      </c>
      <c r="G5" s="7">
        <v>23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6" t="s">
        <v>18</v>
      </c>
      <c r="B7" s="8">
        <f t="shared" ref="B7:E7" si="0">B2/5</f>
        <v>1</v>
      </c>
      <c r="C7" s="4">
        <f t="shared" si="0"/>
        <v>0.6</v>
      </c>
      <c r="D7" s="4">
        <f t="shared" si="0"/>
        <v>0.4</v>
      </c>
      <c r="E7" s="4">
        <f t="shared" si="0"/>
        <v>0.2</v>
      </c>
      <c r="F7" s="9" t="str">
        <f t="shared" ref="F7:F10" si="1">F2</f>
        <v>x1</v>
      </c>
      <c r="G7" s="9">
        <f>G2/5</f>
        <v>5.4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6" t="s">
        <v>9</v>
      </c>
      <c r="B8" s="8">
        <f t="shared" ref="B8:E8" si="2">B7*-2+B3</f>
        <v>0</v>
      </c>
      <c r="C8" s="4">
        <f t="shared" si="2"/>
        <v>-4.2</v>
      </c>
      <c r="D8" s="4">
        <f t="shared" si="2"/>
        <v>3.2</v>
      </c>
      <c r="E8" s="4">
        <f t="shared" si="2"/>
        <v>-5.4</v>
      </c>
      <c r="F8" s="9" t="str">
        <f t="shared" si="1"/>
        <v>x2</v>
      </c>
      <c r="G8" s="9">
        <f>G7*-2+G3</f>
        <v>29.2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6" t="s">
        <v>19</v>
      </c>
      <c r="B9" s="8">
        <f t="shared" ref="B9:E9" si="3">B7*-1+B4</f>
        <v>0</v>
      </c>
      <c r="C9" s="4">
        <f t="shared" si="3"/>
        <v>1.4</v>
      </c>
      <c r="D9" s="4">
        <f t="shared" si="3"/>
        <v>-2.4</v>
      </c>
      <c r="E9" s="4">
        <f t="shared" si="3"/>
        <v>-4.2</v>
      </c>
      <c r="F9" s="9" t="str">
        <f t="shared" si="1"/>
        <v>x3</v>
      </c>
      <c r="G9" s="9">
        <f>G7*-1+G4</f>
        <v>7.6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6" t="s">
        <v>20</v>
      </c>
      <c r="B10" s="8">
        <f t="shared" ref="B10:E10" si="4">B7*-3+B5</f>
        <v>0</v>
      </c>
      <c r="C10" s="4">
        <f t="shared" si="4"/>
        <v>2.2000000000000002</v>
      </c>
      <c r="D10" s="4">
        <f t="shared" si="4"/>
        <v>0.79999999999999982</v>
      </c>
      <c r="E10" s="4">
        <f t="shared" si="4"/>
        <v>0.39999999999999991</v>
      </c>
      <c r="F10" s="9" t="str">
        <f t="shared" si="1"/>
        <v>x4</v>
      </c>
      <c r="G10" s="9">
        <f>G7*-3+G5</f>
        <v>6.7999999999999972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6" t="s">
        <v>21</v>
      </c>
      <c r="B12" s="8">
        <f t="shared" ref="B12:B15" si="5">B7</f>
        <v>1</v>
      </c>
      <c r="C12" s="4">
        <f t="shared" ref="C12:E12" si="6">C13*-0.6+C7</f>
        <v>0</v>
      </c>
      <c r="D12" s="4">
        <f t="shared" si="6"/>
        <v>0.8571428571428571</v>
      </c>
      <c r="E12" s="4">
        <f t="shared" si="6"/>
        <v>-0.5714285714285714</v>
      </c>
      <c r="F12" s="9" t="str">
        <f t="shared" ref="F12:F15" si="7">F7</f>
        <v>x1</v>
      </c>
      <c r="G12" s="9">
        <f>G13*-0.6+G7</f>
        <v>9.5714285714285712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6" t="s">
        <v>22</v>
      </c>
      <c r="B13" s="8">
        <f t="shared" si="5"/>
        <v>0</v>
      </c>
      <c r="C13" s="4">
        <f t="shared" ref="C13:E13" si="8">C8/-4.2</f>
        <v>1</v>
      </c>
      <c r="D13" s="4">
        <f t="shared" si="8"/>
        <v>-0.76190476190476186</v>
      </c>
      <c r="E13" s="4">
        <f t="shared" si="8"/>
        <v>1.2857142857142858</v>
      </c>
      <c r="F13" s="9" t="str">
        <f t="shared" si="7"/>
        <v>x2</v>
      </c>
      <c r="G13" s="9">
        <f>G8/-4.2</f>
        <v>-6.9523809523809517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6" t="s">
        <v>23</v>
      </c>
      <c r="B14" s="8">
        <f t="shared" si="5"/>
        <v>0</v>
      </c>
      <c r="C14" s="4">
        <f t="shared" ref="C14:E14" si="9">C13*-1.4+C9</f>
        <v>0</v>
      </c>
      <c r="D14" s="4">
        <f t="shared" si="9"/>
        <v>-1.3333333333333335</v>
      </c>
      <c r="E14" s="4">
        <f t="shared" si="9"/>
        <v>-6</v>
      </c>
      <c r="F14" s="9" t="str">
        <f t="shared" si="7"/>
        <v>x3</v>
      </c>
      <c r="G14" s="9">
        <f>G13*-1.4+G9</f>
        <v>17.333333333333332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6" t="s">
        <v>24</v>
      </c>
      <c r="B15" s="8">
        <f t="shared" si="5"/>
        <v>0</v>
      </c>
      <c r="C15" s="4">
        <f t="shared" ref="C15:E15" si="10">C13*-2.2+C10</f>
        <v>0</v>
      </c>
      <c r="D15" s="4">
        <f t="shared" si="10"/>
        <v>2.4761904761904763</v>
      </c>
      <c r="E15" s="4">
        <f t="shared" si="10"/>
        <v>-2.4285714285714293</v>
      </c>
      <c r="F15" s="9" t="str">
        <f t="shared" si="7"/>
        <v>x4</v>
      </c>
      <c r="G15" s="9">
        <f>G13*-2.2+G10</f>
        <v>22.095238095238091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6" t="s">
        <v>25</v>
      </c>
      <c r="B17" s="8">
        <f t="shared" ref="B17:C17" si="11">B12</f>
        <v>1</v>
      </c>
      <c r="C17" s="4">
        <f t="shared" si="11"/>
        <v>0</v>
      </c>
      <c r="D17" s="4">
        <f t="shared" ref="D17:E17" si="12">D19*-0.8571428571+D12</f>
        <v>-1.7142887109855565E-10</v>
      </c>
      <c r="E17" s="4">
        <f t="shared" si="12"/>
        <v>-4.428571429342858</v>
      </c>
      <c r="F17" s="9" t="str">
        <f t="shared" ref="F17:F20" si="13">F12</f>
        <v>x1</v>
      </c>
      <c r="G17" s="9">
        <f>G19*-0.8571428571+G12</f>
        <v>20.714285716514283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6" t="s">
        <v>26</v>
      </c>
      <c r="B18" s="8">
        <f t="shared" ref="B18:C18" si="14">B13</f>
        <v>0</v>
      </c>
      <c r="C18" s="4">
        <f t="shared" si="14"/>
        <v>1</v>
      </c>
      <c r="D18" s="4">
        <f t="shared" ref="D18:E18" si="15">D19*--0.7619047619+D13</f>
        <v>1.8571455484561739E-10</v>
      </c>
      <c r="E18" s="4">
        <f t="shared" si="15"/>
        <v>4.714285715121429</v>
      </c>
      <c r="F18" s="9" t="str">
        <f t="shared" si="13"/>
        <v>x2</v>
      </c>
      <c r="G18" s="9">
        <f>G19*--0.7619047619+G13</f>
        <v>-16.857142859557143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6" t="s">
        <v>27</v>
      </c>
      <c r="B19" s="8">
        <f t="shared" ref="B19:C19" si="16">B14</f>
        <v>0</v>
      </c>
      <c r="C19" s="4">
        <f t="shared" si="16"/>
        <v>0</v>
      </c>
      <c r="D19" s="4">
        <f t="shared" ref="D19:E19" si="17">D14/-1.333333333</f>
        <v>1.0000000002500002</v>
      </c>
      <c r="E19" s="4">
        <f t="shared" si="17"/>
        <v>4.5000000011250005</v>
      </c>
      <c r="F19" s="9" t="str">
        <f t="shared" si="13"/>
        <v>x3</v>
      </c>
      <c r="G19" s="9">
        <f>G14/-1.333333333</f>
        <v>-13.000000003249999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6" t="s">
        <v>28</v>
      </c>
      <c r="B20" s="8">
        <f t="shared" ref="B20:C20" si="18">B15</f>
        <v>0</v>
      </c>
      <c r="C20" s="4">
        <f t="shared" si="18"/>
        <v>0</v>
      </c>
      <c r="D20" s="4">
        <f t="shared" ref="D20:E20" si="19">D19*-2.476190476+D15</f>
        <v>-4.2857228876869158E-10</v>
      </c>
      <c r="E20" s="4">
        <f t="shared" si="19"/>
        <v>-13.571428573357146</v>
      </c>
      <c r="F20" s="9" t="str">
        <f t="shared" si="13"/>
        <v>x4</v>
      </c>
      <c r="G20" s="9">
        <f>G19*-2.476190476+G15</f>
        <v>54.285714291285714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6" t="s">
        <v>29</v>
      </c>
      <c r="B22" s="8">
        <f t="shared" ref="B22:D22" si="20">B17</f>
        <v>1</v>
      </c>
      <c r="C22" s="4">
        <f t="shared" si="20"/>
        <v>0</v>
      </c>
      <c r="D22" s="4">
        <f t="shared" si="20"/>
        <v>-1.7142887109855565E-10</v>
      </c>
      <c r="E22" s="4">
        <f>E25*--4.428571429+E17</f>
        <v>7.5263084653443002E-10</v>
      </c>
      <c r="F22" s="9" t="str">
        <f t="shared" ref="F22:F25" si="21">F17</f>
        <v>x1</v>
      </c>
      <c r="G22" s="9">
        <f>G25*--4.428571429+G17</f>
        <v>2.9999999968315763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6" t="s">
        <v>30</v>
      </c>
      <c r="B23" s="8">
        <f t="shared" ref="B23:D23" si="22">B18</f>
        <v>0</v>
      </c>
      <c r="C23" s="4">
        <f t="shared" si="22"/>
        <v>1</v>
      </c>
      <c r="D23" s="4">
        <f t="shared" si="22"/>
        <v>1.8571455484561739E-10</v>
      </c>
      <c r="E23" s="4">
        <f>E25*-4.714285715+E18</f>
        <v>-1.0447367415622466E-9</v>
      </c>
      <c r="F23" s="9" t="str">
        <f t="shared" si="21"/>
        <v>x2</v>
      </c>
      <c r="G23" s="9">
        <f>G25*-4.714285715+G18</f>
        <v>2.0000000043631587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6" t="s">
        <v>31</v>
      </c>
      <c r="B24" s="8">
        <f t="shared" ref="B24:D24" si="23">B19</f>
        <v>0</v>
      </c>
      <c r="C24" s="4">
        <f t="shared" si="23"/>
        <v>0</v>
      </c>
      <c r="D24" s="4">
        <f t="shared" si="23"/>
        <v>1.0000000002500002</v>
      </c>
      <c r="E24" s="4">
        <f>E25*-4.500000001+E19</f>
        <v>-9.8815799987050923E-10</v>
      </c>
      <c r="F24" s="9" t="str">
        <f t="shared" si="21"/>
        <v>x3</v>
      </c>
      <c r="G24" s="9">
        <f>G25*-4.500000001+G19</f>
        <v>5.0000000044921062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6" t="s">
        <v>32</v>
      </c>
      <c r="B25" s="8">
        <f t="shared" ref="B25:D25" si="24">B20</f>
        <v>0</v>
      </c>
      <c r="C25" s="4">
        <f t="shared" si="24"/>
        <v>0</v>
      </c>
      <c r="D25" s="4">
        <f t="shared" si="24"/>
        <v>-4.2857228876869158E-10</v>
      </c>
      <c r="E25" s="4">
        <f>E20/-13.57142857</f>
        <v>1.0000000002473686</v>
      </c>
      <c r="F25" s="9" t="str">
        <f t="shared" si="21"/>
        <v>x4</v>
      </c>
      <c r="G25" s="9">
        <f>G20/-13.57142857</f>
        <v>-4.0000000008315792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F27" s="23" t="s">
        <v>70</v>
      </c>
      <c r="G27" s="2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F28" s="24" t="s">
        <v>2</v>
      </c>
      <c r="G28" s="24">
        <f>G22</f>
        <v>2.9999999968315763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F29" s="24" t="s">
        <v>4</v>
      </c>
      <c r="G29" s="24">
        <f>G23</f>
        <v>2.0000000043631587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F30" s="24" t="s">
        <v>2</v>
      </c>
      <c r="G30" s="24">
        <f>G24</f>
        <v>5.0000000044921062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24" t="s">
        <v>4</v>
      </c>
      <c r="G31" s="24">
        <f>G25</f>
        <v>-4.0000000008315792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25"/>
      <c r="G32" s="2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F27:G27"/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abSelected="1" topLeftCell="P1" zoomScaleNormal="100" workbookViewId="0">
      <selection activeCell="T44" sqref="T44"/>
    </sheetView>
  </sheetViews>
  <sheetFormatPr defaultColWidth="12.5703125" defaultRowHeight="15.75" customHeight="1"/>
  <cols>
    <col min="2" max="2" width="17.85546875" customWidth="1"/>
    <col min="3" max="3" width="19.5703125" customWidth="1"/>
    <col min="5" max="6" width="17.140625" customWidth="1"/>
    <col min="17" max="17" width="16.85546875" bestFit="1" customWidth="1"/>
  </cols>
  <sheetData>
    <row r="1" spans="1:26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>
      <c r="A2" s="11"/>
      <c r="B2" s="15" t="s">
        <v>33</v>
      </c>
      <c r="C2" s="15"/>
      <c r="D2" s="11"/>
      <c r="E2" s="15" t="s">
        <v>34</v>
      </c>
      <c r="F2" s="15"/>
      <c r="G2" s="11"/>
      <c r="H2" s="11"/>
      <c r="I2" s="11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>
      <c r="A3" s="11"/>
      <c r="B3" s="15" t="s">
        <v>35</v>
      </c>
      <c r="C3" s="15"/>
      <c r="D3" s="11"/>
      <c r="E3" s="15" t="s">
        <v>36</v>
      </c>
      <c r="F3" s="15"/>
      <c r="G3" s="11"/>
      <c r="H3" s="11"/>
      <c r="I3" s="11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>
      <c r="A4" s="11"/>
      <c r="B4" s="15" t="s">
        <v>37</v>
      </c>
      <c r="C4" s="15"/>
      <c r="D4" s="11"/>
      <c r="E4" s="15" t="s">
        <v>38</v>
      </c>
      <c r="F4" s="15"/>
      <c r="G4" s="11"/>
      <c r="H4" s="15" t="s">
        <v>37</v>
      </c>
      <c r="I4" s="15"/>
      <c r="J4" s="10"/>
      <c r="K4" s="11">
        <v>9</v>
      </c>
      <c r="L4" s="11">
        <v>-4</v>
      </c>
      <c r="M4" s="11">
        <v>-2</v>
      </c>
      <c r="N4" s="11">
        <v>0</v>
      </c>
      <c r="O4" s="11" t="s">
        <v>39</v>
      </c>
      <c r="P4" s="11">
        <v>24</v>
      </c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>
      <c r="A5" s="11"/>
      <c r="B5" s="11"/>
      <c r="C5" s="11"/>
      <c r="D5" s="11"/>
      <c r="E5" s="11"/>
      <c r="F5" s="11"/>
      <c r="G5" s="11"/>
      <c r="H5" s="15" t="s">
        <v>40</v>
      </c>
      <c r="I5" s="15"/>
      <c r="J5" s="10"/>
      <c r="K5" s="11">
        <v>-4</v>
      </c>
      <c r="L5" s="11">
        <v>17</v>
      </c>
      <c r="M5" s="11">
        <v>-6</v>
      </c>
      <c r="N5" s="11">
        <v>-3</v>
      </c>
      <c r="O5" s="11" t="s">
        <v>41</v>
      </c>
      <c r="P5" s="11">
        <v>-16</v>
      </c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>
      <c r="A6" s="11"/>
      <c r="B6" s="11"/>
      <c r="C6" s="11"/>
      <c r="D6" s="11"/>
      <c r="E6" s="11"/>
      <c r="F6" s="11"/>
      <c r="G6" s="11"/>
      <c r="H6" s="15" t="s">
        <v>38</v>
      </c>
      <c r="I6" s="15"/>
      <c r="J6" s="10"/>
      <c r="K6" s="11">
        <v>-2</v>
      </c>
      <c r="L6" s="11">
        <v>-6</v>
      </c>
      <c r="M6" s="11">
        <v>14</v>
      </c>
      <c r="N6" s="11">
        <v>-6</v>
      </c>
      <c r="O6" s="11" t="s">
        <v>42</v>
      </c>
      <c r="P6" s="11">
        <v>0</v>
      </c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>
      <c r="A7" s="11"/>
      <c r="B7" s="15" t="s">
        <v>43</v>
      </c>
      <c r="C7" s="15"/>
      <c r="D7" s="11"/>
      <c r="E7" s="15" t="s">
        <v>44</v>
      </c>
      <c r="F7" s="15"/>
      <c r="G7" s="11"/>
      <c r="H7" s="15" t="s">
        <v>45</v>
      </c>
      <c r="I7" s="15"/>
      <c r="J7" s="10"/>
      <c r="K7" s="11">
        <v>0</v>
      </c>
      <c r="L7" s="11">
        <v>-3</v>
      </c>
      <c r="M7" s="11">
        <v>-6</v>
      </c>
      <c r="N7" s="11">
        <v>11</v>
      </c>
      <c r="O7" s="11" t="s">
        <v>46</v>
      </c>
      <c r="P7" s="11">
        <v>18</v>
      </c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>
      <c r="A8" s="11"/>
      <c r="B8" s="15" t="s">
        <v>47</v>
      </c>
      <c r="C8" s="15"/>
      <c r="D8" s="11"/>
      <c r="E8" s="15" t="s">
        <v>48</v>
      </c>
      <c r="F8" s="15"/>
      <c r="G8" s="11"/>
      <c r="H8" s="11"/>
      <c r="I8" s="11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>
      <c r="A9" s="11"/>
      <c r="B9" s="15" t="s">
        <v>40</v>
      </c>
      <c r="C9" s="15"/>
      <c r="D9" s="11"/>
      <c r="E9" s="15" t="s">
        <v>45</v>
      </c>
      <c r="F9" s="15"/>
      <c r="G9" s="11"/>
      <c r="H9" s="11"/>
      <c r="I9" s="11"/>
      <c r="J9" s="11"/>
      <c r="K9" s="16" t="s">
        <v>49</v>
      </c>
      <c r="L9" s="14"/>
      <c r="M9" s="14"/>
      <c r="N9" s="14"/>
      <c r="O9" s="14"/>
      <c r="P9" s="14"/>
      <c r="Q9" s="10"/>
      <c r="R9" s="15" t="s">
        <v>49</v>
      </c>
      <c r="S9" s="14"/>
      <c r="T9" s="14"/>
      <c r="U9" s="14"/>
      <c r="V9" s="14"/>
      <c r="W9" s="14"/>
      <c r="X9" s="10"/>
      <c r="Y9" s="10"/>
      <c r="Z9" s="10"/>
    </row>
    <row r="10" spans="1:26">
      <c r="A10" s="10"/>
      <c r="B10" s="10"/>
      <c r="C10" s="10"/>
      <c r="D10" s="10"/>
      <c r="E10" s="10"/>
      <c r="F10" s="10"/>
      <c r="G10" s="10"/>
      <c r="H10" s="10"/>
      <c r="I10" s="10"/>
      <c r="J10" s="11"/>
      <c r="K10" s="11">
        <v>1</v>
      </c>
      <c r="L10" s="11">
        <v>0</v>
      </c>
      <c r="M10" s="11">
        <v>0</v>
      </c>
      <c r="N10" s="11">
        <v>0</v>
      </c>
      <c r="O10" s="10" t="str">
        <f t="shared" ref="O10:P10" si="0">O4</f>
        <v>i1</v>
      </c>
      <c r="P10" s="10">
        <f t="shared" si="0"/>
        <v>24</v>
      </c>
      <c r="Q10" s="10"/>
      <c r="R10" s="10">
        <f t="shared" ref="R10:W10" si="1">K10</f>
        <v>1</v>
      </c>
      <c r="S10" s="10">
        <f t="shared" si="1"/>
        <v>0</v>
      </c>
      <c r="T10" s="10">
        <f t="shared" si="1"/>
        <v>0</v>
      </c>
      <c r="U10" s="10">
        <f t="shared" si="1"/>
        <v>0</v>
      </c>
      <c r="V10" s="10" t="str">
        <f t="shared" si="1"/>
        <v>i1</v>
      </c>
      <c r="W10" s="10">
        <f t="shared" si="1"/>
        <v>24</v>
      </c>
      <c r="X10" s="10"/>
      <c r="Y10" s="10"/>
      <c r="Z10" s="10"/>
    </row>
    <row r="11" spans="1:26">
      <c r="A11" s="10"/>
      <c r="B11" s="10"/>
      <c r="C11" s="10"/>
      <c r="D11" s="10"/>
      <c r="E11" s="10"/>
      <c r="F11" s="10"/>
      <c r="G11" s="10"/>
      <c r="H11" s="10"/>
      <c r="I11" s="10"/>
      <c r="J11" s="11" t="s">
        <v>50</v>
      </c>
      <c r="K11" s="10">
        <f>K5/K4</f>
        <v>-0.44444444444444442</v>
      </c>
      <c r="L11" s="11">
        <v>1</v>
      </c>
      <c r="M11" s="11">
        <v>0</v>
      </c>
      <c r="N11" s="11">
        <v>0</v>
      </c>
      <c r="O11" s="10" t="str">
        <f t="shared" ref="O11:P11" si="2">O5</f>
        <v>i2</v>
      </c>
      <c r="P11" s="10">
        <f t="shared" si="2"/>
        <v>-16</v>
      </c>
      <c r="Q11" s="10"/>
      <c r="R11" s="10">
        <f t="shared" ref="R11:W11" si="3">K11</f>
        <v>-0.44444444444444442</v>
      </c>
      <c r="S11" s="10">
        <f t="shared" si="3"/>
        <v>1</v>
      </c>
      <c r="T11" s="10">
        <f t="shared" si="3"/>
        <v>0</v>
      </c>
      <c r="U11" s="10">
        <f t="shared" si="3"/>
        <v>0</v>
      </c>
      <c r="V11" s="10" t="str">
        <f t="shared" si="3"/>
        <v>i2</v>
      </c>
      <c r="W11" s="10">
        <f t="shared" si="3"/>
        <v>-16</v>
      </c>
      <c r="X11" s="10"/>
      <c r="Y11" s="10"/>
      <c r="Z11" s="10"/>
    </row>
    <row r="12" spans="1:26">
      <c r="A12" s="10"/>
      <c r="B12" s="10"/>
      <c r="C12" s="10"/>
      <c r="D12" s="10"/>
      <c r="E12" s="10"/>
      <c r="F12" s="10"/>
      <c r="G12" s="10"/>
      <c r="H12" s="10"/>
      <c r="I12" s="10"/>
      <c r="J12" s="11" t="s">
        <v>51</v>
      </c>
      <c r="K12" s="10">
        <f>K6/K4</f>
        <v>-0.22222222222222221</v>
      </c>
      <c r="L12" s="10"/>
      <c r="M12" s="11">
        <v>1</v>
      </c>
      <c r="N12" s="10">
        <f t="shared" ref="N12:P12" si="4">N6</f>
        <v>-6</v>
      </c>
      <c r="O12" s="10" t="str">
        <f t="shared" si="4"/>
        <v>i3</v>
      </c>
      <c r="P12" s="10">
        <f t="shared" si="4"/>
        <v>0</v>
      </c>
      <c r="Q12" s="11" t="s">
        <v>52</v>
      </c>
      <c r="R12" s="10">
        <f t="shared" ref="R12:R13" si="5">K12</f>
        <v>-0.22222222222222221</v>
      </c>
      <c r="S12" s="10">
        <f>L18/L17</f>
        <v>-0.4525547445255475</v>
      </c>
      <c r="T12" s="10">
        <f t="shared" ref="T12:W12" si="6">M12</f>
        <v>1</v>
      </c>
      <c r="U12" s="10">
        <f t="shared" si="6"/>
        <v>-6</v>
      </c>
      <c r="V12" s="10" t="str">
        <f t="shared" si="6"/>
        <v>i3</v>
      </c>
      <c r="W12" s="10">
        <f t="shared" si="6"/>
        <v>0</v>
      </c>
      <c r="X12" s="10"/>
      <c r="Y12" s="10"/>
      <c r="Z12" s="10"/>
    </row>
    <row r="13" spans="1:26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1">
        <v>0</v>
      </c>
      <c r="L13" s="10"/>
      <c r="M13" s="10"/>
      <c r="N13" s="11">
        <v>1</v>
      </c>
      <c r="O13" s="10" t="str">
        <f t="shared" ref="O13:P13" si="7">O7</f>
        <v>i4</v>
      </c>
      <c r="P13" s="10">
        <f t="shared" si="7"/>
        <v>18</v>
      </c>
      <c r="Q13" s="11" t="s">
        <v>53</v>
      </c>
      <c r="R13" s="10">
        <f t="shared" si="5"/>
        <v>0</v>
      </c>
      <c r="S13" s="10">
        <f>L19/L17</f>
        <v>-0.19708029197080293</v>
      </c>
      <c r="T13" s="10">
        <f t="shared" ref="T13:W13" si="8">M13</f>
        <v>0</v>
      </c>
      <c r="U13" s="10">
        <f t="shared" si="8"/>
        <v>1</v>
      </c>
      <c r="V13" s="10" t="str">
        <f t="shared" si="8"/>
        <v>i4</v>
      </c>
      <c r="W13" s="10">
        <f t="shared" si="8"/>
        <v>18</v>
      </c>
      <c r="X13" s="10"/>
      <c r="Y13" s="10"/>
      <c r="Z13" s="10"/>
    </row>
    <row r="14" spans="1:26">
      <c r="A14" s="10"/>
      <c r="B14" s="10"/>
      <c r="C14" s="10"/>
      <c r="D14" s="10"/>
      <c r="E14" s="10"/>
      <c r="F14" s="10"/>
      <c r="G14" s="10"/>
      <c r="H14" s="10"/>
      <c r="I14" s="10"/>
      <c r="J14" s="1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>
      <c r="A15" s="10"/>
      <c r="B15" s="10"/>
      <c r="C15" s="10"/>
      <c r="D15" s="10"/>
      <c r="E15" s="10"/>
      <c r="F15" s="10"/>
      <c r="G15" s="10"/>
      <c r="H15" s="10"/>
      <c r="I15" s="10"/>
      <c r="J15" s="11"/>
      <c r="K15" s="15" t="s">
        <v>54</v>
      </c>
      <c r="L15" s="14"/>
      <c r="M15" s="14"/>
      <c r="N15" s="14"/>
      <c r="O15" s="14"/>
      <c r="P15" s="14"/>
      <c r="Q15" s="10"/>
      <c r="R15" s="15" t="s">
        <v>54</v>
      </c>
      <c r="S15" s="14"/>
      <c r="T15" s="14"/>
      <c r="U15" s="14"/>
      <c r="V15" s="14"/>
      <c r="W15" s="14"/>
      <c r="X15" s="10"/>
      <c r="Y15" s="10"/>
      <c r="Z15" s="10"/>
    </row>
    <row r="16" spans="1:26">
      <c r="A16" s="10"/>
      <c r="B16" s="10"/>
      <c r="C16" s="10"/>
      <c r="D16" s="10"/>
      <c r="E16" s="10"/>
      <c r="F16" s="10"/>
      <c r="G16" s="10"/>
      <c r="H16" s="10"/>
      <c r="I16" s="10"/>
      <c r="J16" s="11"/>
      <c r="K16" s="10">
        <f t="shared" ref="K16:P16" si="9">K4</f>
        <v>9</v>
      </c>
      <c r="L16" s="10">
        <f t="shared" si="9"/>
        <v>-4</v>
      </c>
      <c r="M16" s="10">
        <f t="shared" si="9"/>
        <v>-2</v>
      </c>
      <c r="N16" s="10">
        <f t="shared" si="9"/>
        <v>0</v>
      </c>
      <c r="O16" s="10" t="str">
        <f t="shared" si="9"/>
        <v>i1</v>
      </c>
      <c r="P16" s="10">
        <f t="shared" si="9"/>
        <v>24</v>
      </c>
      <c r="Q16" s="10"/>
      <c r="R16" s="10">
        <f t="shared" ref="R16:W16" si="10">K16</f>
        <v>9</v>
      </c>
      <c r="S16" s="10">
        <f t="shared" si="10"/>
        <v>-4</v>
      </c>
      <c r="T16" s="10">
        <f t="shared" si="10"/>
        <v>-2</v>
      </c>
      <c r="U16" s="10">
        <f t="shared" si="10"/>
        <v>0</v>
      </c>
      <c r="V16" s="10" t="str">
        <f t="shared" si="10"/>
        <v>i1</v>
      </c>
      <c r="W16" s="10">
        <f t="shared" si="10"/>
        <v>24</v>
      </c>
      <c r="X16" s="10"/>
      <c r="Y16" s="10"/>
      <c r="Z16" s="10"/>
    </row>
    <row r="17" spans="1:26">
      <c r="A17" s="10"/>
      <c r="B17" s="10"/>
      <c r="C17" s="10"/>
      <c r="D17" s="10"/>
      <c r="E17" s="10"/>
      <c r="F17" s="10"/>
      <c r="G17" s="10"/>
      <c r="H17" s="10"/>
      <c r="I17" s="10"/>
      <c r="J17" s="11" t="s">
        <v>55</v>
      </c>
      <c r="K17" s="10">
        <f>K5-K11*K4</f>
        <v>0</v>
      </c>
      <c r="L17" s="10">
        <f>L5-K11*L4</f>
        <v>15.222222222222221</v>
      </c>
      <c r="M17" s="10">
        <f>M5-K11*M4</f>
        <v>-6.8888888888888893</v>
      </c>
      <c r="N17" s="10">
        <f>N5-K11*N4</f>
        <v>-3</v>
      </c>
      <c r="O17" s="10" t="str">
        <f t="shared" ref="O17:O18" si="11">O5</f>
        <v>i2</v>
      </c>
      <c r="P17" s="10">
        <f>P5-K11*P4</f>
        <v>-5.3333333333333339</v>
      </c>
      <c r="Q17" s="10"/>
      <c r="R17" s="10">
        <f t="shared" ref="R17:W17" si="12">K17</f>
        <v>0</v>
      </c>
      <c r="S17" s="10">
        <f t="shared" si="12"/>
        <v>15.222222222222221</v>
      </c>
      <c r="T17" s="10">
        <f t="shared" si="12"/>
        <v>-6.8888888888888893</v>
      </c>
      <c r="U17" s="10">
        <f t="shared" si="12"/>
        <v>-3</v>
      </c>
      <c r="V17" s="10" t="str">
        <f t="shared" si="12"/>
        <v>i2</v>
      </c>
      <c r="W17" s="10">
        <f t="shared" si="12"/>
        <v>-5.3333333333333339</v>
      </c>
      <c r="X17" s="10"/>
      <c r="Y17" s="10"/>
      <c r="Z17" s="10"/>
    </row>
    <row r="18" spans="1:26">
      <c r="A18" s="10"/>
      <c r="B18" s="10"/>
      <c r="C18" s="10"/>
      <c r="D18" s="10"/>
      <c r="E18" s="10"/>
      <c r="F18" s="10"/>
      <c r="G18" s="10"/>
      <c r="H18" s="10"/>
      <c r="I18" s="10"/>
      <c r="J18" s="11" t="s">
        <v>56</v>
      </c>
      <c r="K18" s="10">
        <f>K6-K12*K4</f>
        <v>0</v>
      </c>
      <c r="L18" s="10">
        <f>L6-K12*L4</f>
        <v>-6.8888888888888893</v>
      </c>
      <c r="M18" s="10">
        <f>M6-K12*M4</f>
        <v>13.555555555555555</v>
      </c>
      <c r="N18" s="10">
        <f>N6-K12*N4</f>
        <v>-6</v>
      </c>
      <c r="O18" s="10" t="str">
        <f t="shared" si="11"/>
        <v>i3</v>
      </c>
      <c r="P18" s="10">
        <f>P6-K12*P4</f>
        <v>5.333333333333333</v>
      </c>
      <c r="Q18" s="11" t="s">
        <v>57</v>
      </c>
      <c r="R18" s="10">
        <f t="shared" ref="R18:R19" si="13">K18</f>
        <v>0</v>
      </c>
      <c r="S18" s="10">
        <f>L18-S12*L17</f>
        <v>0</v>
      </c>
      <c r="T18" s="10">
        <f>M18-S12*M17</f>
        <v>10.43795620437956</v>
      </c>
      <c r="U18" s="10">
        <f>N18-S12*N17</f>
        <v>-7.3576642335766422</v>
      </c>
      <c r="V18" s="10" t="str">
        <f t="shared" ref="V18:V19" si="14">O18</f>
        <v>i3</v>
      </c>
      <c r="W18" s="10">
        <f>P18-S12*P17</f>
        <v>2.9197080291970794</v>
      </c>
      <c r="X18" s="10"/>
      <c r="Y18" s="10"/>
      <c r="Z18" s="10"/>
    </row>
    <row r="19" spans="1:26">
      <c r="A19" s="10"/>
      <c r="B19" s="10"/>
      <c r="C19" s="10"/>
      <c r="D19" s="10"/>
      <c r="E19" s="10"/>
      <c r="F19" s="10"/>
      <c r="G19" s="10"/>
      <c r="H19" s="10"/>
      <c r="I19" s="10"/>
      <c r="J19" s="11"/>
      <c r="K19" s="10">
        <f t="shared" ref="K19:P19" si="15">K7</f>
        <v>0</v>
      </c>
      <c r="L19" s="10">
        <f t="shared" si="15"/>
        <v>-3</v>
      </c>
      <c r="M19" s="10">
        <f t="shared" si="15"/>
        <v>-6</v>
      </c>
      <c r="N19" s="10">
        <f t="shared" si="15"/>
        <v>11</v>
      </c>
      <c r="O19" s="10" t="str">
        <f t="shared" si="15"/>
        <v>i4</v>
      </c>
      <c r="P19" s="10">
        <f t="shared" si="15"/>
        <v>18</v>
      </c>
      <c r="Q19" s="11" t="s">
        <v>58</v>
      </c>
      <c r="R19" s="10">
        <f t="shared" si="13"/>
        <v>0</v>
      </c>
      <c r="S19" s="10">
        <f>L19-S13*L17</f>
        <v>0</v>
      </c>
      <c r="T19" s="10">
        <f>M19-S13*M17</f>
        <v>-7.3576642335766422</v>
      </c>
      <c r="U19" s="10">
        <f>N19-S13*N17</f>
        <v>10.408759124087592</v>
      </c>
      <c r="V19" s="10" t="str">
        <f t="shared" si="14"/>
        <v>i4</v>
      </c>
      <c r="W19" s="10">
        <f>P19-S13*P17</f>
        <v>16.948905109489051</v>
      </c>
      <c r="X19" s="10"/>
      <c r="Y19" s="10"/>
      <c r="Z19" s="10"/>
    </row>
    <row r="20" spans="1:26">
      <c r="A20" s="10"/>
      <c r="B20" s="10"/>
      <c r="C20" s="10"/>
      <c r="D20" s="10"/>
      <c r="E20" s="10"/>
      <c r="F20" s="10"/>
      <c r="G20" s="10"/>
      <c r="H20" s="10"/>
      <c r="I20" s="10"/>
      <c r="J20" s="1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>
      <c r="A21" s="10"/>
      <c r="B21" s="10"/>
      <c r="C21" s="10"/>
      <c r="D21" s="10"/>
      <c r="E21" s="10"/>
      <c r="F21" s="10"/>
      <c r="G21" s="10"/>
      <c r="H21" s="10"/>
      <c r="I21" s="10"/>
      <c r="J21" s="11"/>
      <c r="K21" s="10"/>
      <c r="L21" s="10"/>
      <c r="M21" s="10"/>
      <c r="N21" s="10"/>
      <c r="O21" s="10"/>
      <c r="P21" s="10"/>
      <c r="Q21" s="10"/>
      <c r="R21" s="15" t="s">
        <v>49</v>
      </c>
      <c r="S21" s="14"/>
      <c r="T21" s="14"/>
      <c r="U21" s="14"/>
      <c r="V21" s="14"/>
      <c r="W21" s="14"/>
      <c r="X21" s="10"/>
      <c r="Y21" s="10"/>
      <c r="Z21" s="10"/>
    </row>
    <row r="22" spans="1:26">
      <c r="A22" s="10"/>
      <c r="B22" s="10"/>
      <c r="C22" s="10"/>
      <c r="D22" s="10"/>
      <c r="E22" s="10"/>
      <c r="F22" s="10"/>
      <c r="G22" s="10"/>
      <c r="H22" s="10"/>
      <c r="I22" s="10"/>
      <c r="J22" s="11"/>
      <c r="K22" s="10"/>
      <c r="L22" s="10"/>
      <c r="M22" s="10"/>
      <c r="N22" s="10"/>
      <c r="O22" s="10"/>
      <c r="P22" s="10"/>
      <c r="Q22" s="10"/>
      <c r="R22" s="10">
        <f t="shared" ref="R22:W22" si="16">R10</f>
        <v>1</v>
      </c>
      <c r="S22" s="10">
        <f t="shared" si="16"/>
        <v>0</v>
      </c>
      <c r="T22" s="10">
        <f t="shared" si="16"/>
        <v>0</v>
      </c>
      <c r="U22" s="10">
        <f t="shared" si="16"/>
        <v>0</v>
      </c>
      <c r="V22" s="10" t="str">
        <f t="shared" si="16"/>
        <v>i1</v>
      </c>
      <c r="W22" s="10">
        <f t="shared" si="16"/>
        <v>24</v>
      </c>
      <c r="X22" s="10"/>
      <c r="Y22" s="10"/>
      <c r="Z22" s="10"/>
    </row>
    <row r="23" spans="1:2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>
        <f t="shared" ref="R23:W23" si="17">R11</f>
        <v>-0.44444444444444442</v>
      </c>
      <c r="S23" s="10">
        <f t="shared" si="17"/>
        <v>1</v>
      </c>
      <c r="T23" s="10">
        <f t="shared" si="17"/>
        <v>0</v>
      </c>
      <c r="U23" s="10">
        <f t="shared" si="17"/>
        <v>0</v>
      </c>
      <c r="V23" s="10" t="str">
        <f t="shared" si="17"/>
        <v>i2</v>
      </c>
      <c r="W23" s="10">
        <f t="shared" si="17"/>
        <v>-16</v>
      </c>
      <c r="X23" s="10"/>
      <c r="Y23" s="10"/>
      <c r="Z23" s="10"/>
    </row>
    <row r="24" spans="1:26">
      <c r="A24" s="10"/>
      <c r="B24" s="10"/>
      <c r="C24" s="10"/>
      <c r="D24" s="10"/>
      <c r="E24" s="10"/>
      <c r="F24" s="10"/>
      <c r="G24" s="10"/>
      <c r="H24" s="10"/>
      <c r="I24" s="10"/>
      <c r="J24" s="11"/>
      <c r="K24" s="10"/>
      <c r="L24" s="10"/>
      <c r="M24" s="10"/>
      <c r="N24" s="10"/>
      <c r="O24" s="10"/>
      <c r="P24" s="10"/>
      <c r="Q24" s="10"/>
      <c r="R24" s="10">
        <f t="shared" ref="R24:W24" si="18">R12</f>
        <v>-0.22222222222222221</v>
      </c>
      <c r="S24" s="10">
        <f t="shared" si="18"/>
        <v>-0.4525547445255475</v>
      </c>
      <c r="T24" s="10">
        <f t="shared" si="18"/>
        <v>1</v>
      </c>
      <c r="U24" s="10">
        <f t="shared" si="18"/>
        <v>-6</v>
      </c>
      <c r="V24" s="10" t="str">
        <f t="shared" si="18"/>
        <v>i3</v>
      </c>
      <c r="W24" s="10">
        <f t="shared" si="18"/>
        <v>0</v>
      </c>
      <c r="X24" s="10"/>
      <c r="Y24" s="10"/>
      <c r="Z24" s="10"/>
    </row>
    <row r="25" spans="1:26">
      <c r="A25" s="10"/>
      <c r="B25" s="10"/>
      <c r="C25" s="10"/>
      <c r="D25" s="10"/>
      <c r="E25" s="10"/>
      <c r="F25" s="10"/>
      <c r="G25" s="10"/>
      <c r="H25" s="10"/>
      <c r="I25" s="10"/>
      <c r="J25" s="11"/>
      <c r="K25" s="10"/>
      <c r="L25" s="10"/>
      <c r="M25" s="10"/>
      <c r="N25" s="10"/>
      <c r="O25" s="10"/>
      <c r="P25" s="10"/>
      <c r="Q25" s="11" t="s">
        <v>59</v>
      </c>
      <c r="R25" s="10">
        <f t="shared" ref="R25:S25" si="19">R13</f>
        <v>0</v>
      </c>
      <c r="S25" s="10">
        <f t="shared" si="19"/>
        <v>-0.19708029197080293</v>
      </c>
      <c r="T25" s="10">
        <f>T19/T18</f>
        <v>-0.70489510489510498</v>
      </c>
      <c r="U25" s="10">
        <f t="shared" ref="U25:W25" si="20">U13</f>
        <v>1</v>
      </c>
      <c r="V25" s="10" t="str">
        <f t="shared" si="20"/>
        <v>i4</v>
      </c>
      <c r="W25" s="10">
        <f t="shared" si="20"/>
        <v>18</v>
      </c>
      <c r="X25" s="10"/>
      <c r="Y25" s="10"/>
      <c r="Z25" s="10"/>
    </row>
    <row r="26" spans="1:26">
      <c r="A26" s="10"/>
      <c r="B26" s="10"/>
      <c r="C26" s="10"/>
      <c r="D26" s="10"/>
      <c r="E26" s="10"/>
      <c r="F26" s="10"/>
      <c r="G26" s="10"/>
      <c r="H26" s="10"/>
      <c r="I26" s="10"/>
      <c r="J26" s="1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>
      <c r="A27" s="10"/>
      <c r="B27" s="10"/>
      <c r="C27" s="10"/>
      <c r="D27" s="10"/>
      <c r="E27" s="10"/>
      <c r="F27" s="10"/>
      <c r="G27" s="10"/>
      <c r="H27" s="10"/>
      <c r="I27" s="10"/>
      <c r="J27" s="11"/>
      <c r="K27" s="10"/>
      <c r="L27" s="10"/>
      <c r="M27" s="10"/>
      <c r="N27" s="10"/>
      <c r="O27" s="10"/>
      <c r="P27" s="10"/>
      <c r="Q27" s="10"/>
      <c r="R27" s="15" t="s">
        <v>54</v>
      </c>
      <c r="S27" s="14"/>
      <c r="T27" s="14"/>
      <c r="U27" s="14"/>
      <c r="V27" s="14"/>
      <c r="W27" s="14"/>
      <c r="X27" s="10"/>
      <c r="Y27" s="10"/>
      <c r="Z27" s="10"/>
    </row>
    <row r="28" spans="1:26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>
        <f t="shared" ref="R28:W28" si="21">R16</f>
        <v>9</v>
      </c>
      <c r="S28" s="10">
        <f t="shared" si="21"/>
        <v>-4</v>
      </c>
      <c r="T28" s="10">
        <f t="shared" si="21"/>
        <v>-2</v>
      </c>
      <c r="U28" s="10">
        <f t="shared" si="21"/>
        <v>0</v>
      </c>
      <c r="V28" s="10" t="str">
        <f t="shared" si="21"/>
        <v>i1</v>
      </c>
      <c r="W28" s="10">
        <f t="shared" si="21"/>
        <v>24</v>
      </c>
      <c r="X28" s="10"/>
      <c r="Y28" s="10"/>
      <c r="Z28" s="10"/>
    </row>
    <row r="29" spans="1:26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>
        <f t="shared" ref="R29:W29" si="22">R17</f>
        <v>0</v>
      </c>
      <c r="S29" s="10">
        <f t="shared" si="22"/>
        <v>15.222222222222221</v>
      </c>
      <c r="T29" s="10">
        <f t="shared" si="22"/>
        <v>-6.8888888888888893</v>
      </c>
      <c r="U29" s="10">
        <f t="shared" si="22"/>
        <v>-3</v>
      </c>
      <c r="V29" s="10" t="str">
        <f t="shared" si="22"/>
        <v>i2</v>
      </c>
      <c r="W29" s="10">
        <f t="shared" si="22"/>
        <v>-5.3333333333333339</v>
      </c>
      <c r="X29" s="10"/>
      <c r="Y29" s="10"/>
      <c r="Z29" s="10"/>
    </row>
    <row r="30" spans="1:26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1"/>
      <c r="O30" s="10">
        <f t="shared" ref="O30:O33" si="23">P24</f>
        <v>0</v>
      </c>
      <c r="P30" s="10"/>
      <c r="Q30" s="10"/>
      <c r="R30" s="10">
        <f t="shared" ref="R30:W30" si="24">R18</f>
        <v>0</v>
      </c>
      <c r="S30" s="10">
        <f t="shared" si="24"/>
        <v>0</v>
      </c>
      <c r="T30" s="10">
        <f t="shared" si="24"/>
        <v>10.43795620437956</v>
      </c>
      <c r="U30" s="10">
        <f t="shared" si="24"/>
        <v>-7.3576642335766422</v>
      </c>
      <c r="V30" s="10" t="str">
        <f t="shared" si="24"/>
        <v>i3</v>
      </c>
      <c r="W30" s="10">
        <f t="shared" si="24"/>
        <v>2.9197080291970794</v>
      </c>
      <c r="X30" s="10"/>
      <c r="Y30" s="10"/>
      <c r="Z30" s="10"/>
    </row>
    <row r="31" spans="1:2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1"/>
      <c r="O31" s="10">
        <f t="shared" si="23"/>
        <v>0</v>
      </c>
      <c r="P31" s="10"/>
      <c r="Q31" s="11" t="s">
        <v>60</v>
      </c>
      <c r="R31" s="10">
        <f t="shared" ref="R31:S31" si="25">R19</f>
        <v>0</v>
      </c>
      <c r="S31" s="10">
        <f t="shared" si="25"/>
        <v>0</v>
      </c>
      <c r="T31" s="10">
        <f>T19-T25*T18</f>
        <v>0</v>
      </c>
      <c r="U31" s="10">
        <f>U19-T25*U18</f>
        <v>5.2223776223776222</v>
      </c>
      <c r="V31" s="10" t="str">
        <f>V19</f>
        <v>i4</v>
      </c>
      <c r="W31" s="10">
        <f>W19-T25*W18</f>
        <v>19.006993006993007</v>
      </c>
      <c r="X31" s="10"/>
      <c r="Y31" s="10"/>
      <c r="Z31" s="10"/>
    </row>
    <row r="32" spans="1:2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1"/>
      <c r="O32" s="10">
        <f t="shared" si="23"/>
        <v>0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1"/>
      <c r="O33" s="10">
        <f t="shared" si="23"/>
        <v>0</v>
      </c>
      <c r="P33" s="10"/>
      <c r="Q33" s="10"/>
      <c r="R33" s="10"/>
      <c r="S33" s="10"/>
      <c r="T33" s="10"/>
      <c r="U33" s="11" t="s">
        <v>61</v>
      </c>
      <c r="V33" s="10"/>
      <c r="W33" s="10"/>
      <c r="X33" s="10"/>
      <c r="Y33" s="10"/>
      <c r="Z33" s="10"/>
    </row>
    <row r="34" spans="1:26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1" t="s">
        <v>62</v>
      </c>
      <c r="T34" s="10">
        <f t="shared" ref="T34:T37" si="26">W28</f>
        <v>24</v>
      </c>
      <c r="U34" s="10">
        <f t="shared" ref="U34:U37" si="27">W10</f>
        <v>24</v>
      </c>
      <c r="V34" s="10"/>
      <c r="W34" s="11" t="s">
        <v>63</v>
      </c>
      <c r="X34" s="10"/>
      <c r="Y34" s="10"/>
      <c r="Z34" s="10"/>
    </row>
    <row r="35" spans="1:26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1" t="s">
        <v>64</v>
      </c>
      <c r="T35" s="10">
        <f t="shared" si="26"/>
        <v>-5.3333333333333339</v>
      </c>
      <c r="U35" s="10">
        <f t="shared" si="27"/>
        <v>-16</v>
      </c>
      <c r="V35" s="10"/>
      <c r="W35" s="11" t="s">
        <v>65</v>
      </c>
      <c r="X35" s="10"/>
      <c r="Y35" s="10"/>
      <c r="Z35" s="10"/>
    </row>
    <row r="36" spans="1:2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1" t="s">
        <v>66</v>
      </c>
      <c r="T36" s="10">
        <f t="shared" si="26"/>
        <v>2.9197080291970794</v>
      </c>
      <c r="U36" s="10">
        <f t="shared" si="27"/>
        <v>0</v>
      </c>
      <c r="V36" s="10"/>
      <c r="W36" s="11" t="s">
        <v>67</v>
      </c>
      <c r="X36" s="10"/>
      <c r="Y36" s="10"/>
      <c r="Z36" s="10"/>
    </row>
    <row r="37" spans="1:26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1" t="s">
        <v>68</v>
      </c>
      <c r="T37" s="10">
        <f t="shared" si="26"/>
        <v>19.006993006993007</v>
      </c>
      <c r="U37" s="10">
        <f t="shared" si="27"/>
        <v>18</v>
      </c>
      <c r="V37" s="10"/>
      <c r="W37" s="11" t="s">
        <v>69</v>
      </c>
      <c r="X37" s="10"/>
      <c r="Y37" s="10"/>
      <c r="Z37" s="10"/>
    </row>
    <row r="38" spans="1:26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2"/>
      <c r="R40" s="10">
        <f>(T34+(-S40*S41)+(-T40*T42))/R28</f>
        <v>4.0342795929298347</v>
      </c>
      <c r="S40" s="10">
        <f t="shared" ref="S40:W40" si="28">S28</f>
        <v>-4</v>
      </c>
      <c r="T40" s="10">
        <f t="shared" si="28"/>
        <v>-2</v>
      </c>
      <c r="U40" s="10">
        <f t="shared" si="28"/>
        <v>0</v>
      </c>
      <c r="V40" s="10" t="str">
        <f t="shared" si="28"/>
        <v>i1</v>
      </c>
      <c r="W40" s="10">
        <f t="shared" si="28"/>
        <v>24</v>
      </c>
      <c r="X40" s="10"/>
      <c r="Y40" s="10"/>
      <c r="Z40" s="10"/>
    </row>
    <row r="41" spans="1:2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1"/>
      <c r="R41" s="10">
        <f t="shared" ref="R41:R44" si="29">R29</f>
        <v>0</v>
      </c>
      <c r="S41" s="10">
        <f>(T35+(-T41*T42)+(-U41*U43))/S29</f>
        <v>1.6545259775040175</v>
      </c>
      <c r="T41" s="10">
        <f t="shared" ref="T41:W41" si="30">T29</f>
        <v>-6.8888888888888893</v>
      </c>
      <c r="U41" s="10">
        <f t="shared" si="30"/>
        <v>-3</v>
      </c>
      <c r="V41" s="10" t="str">
        <f t="shared" si="30"/>
        <v>i2</v>
      </c>
      <c r="W41" s="10">
        <f t="shared" si="30"/>
        <v>-5.3333333333333339</v>
      </c>
      <c r="X41" s="10"/>
      <c r="Y41" s="10"/>
      <c r="Z41" s="10"/>
    </row>
    <row r="42" spans="1:26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R42" s="10">
        <f t="shared" si="29"/>
        <v>0</v>
      </c>
      <c r="S42" s="10">
        <f t="shared" ref="S42:S44" si="31">S30</f>
        <v>0</v>
      </c>
      <c r="T42" s="10">
        <f>(T36+(-U42*U43))/T30</f>
        <v>2.845206213176219</v>
      </c>
      <c r="U42" s="10">
        <f t="shared" ref="U42:W42" si="32">U30</f>
        <v>-7.3576642335766422</v>
      </c>
      <c r="V42" s="10" t="str">
        <f t="shared" si="32"/>
        <v>i3</v>
      </c>
      <c r="W42" s="10">
        <f t="shared" si="32"/>
        <v>2.9197080291970794</v>
      </c>
      <c r="X42" s="10"/>
      <c r="Y42" s="10"/>
      <c r="Z42" s="10"/>
    </row>
    <row r="43" spans="1:26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1"/>
      <c r="R43" s="10">
        <f t="shared" si="29"/>
        <v>0</v>
      </c>
      <c r="S43" s="10">
        <f t="shared" si="31"/>
        <v>0</v>
      </c>
      <c r="T43" s="10">
        <f t="shared" ref="T43:T44" si="33">T31</f>
        <v>0</v>
      </c>
      <c r="U43" s="10">
        <f>T37/U31</f>
        <v>3.6395286555972151</v>
      </c>
      <c r="V43" s="10" t="str">
        <f t="shared" ref="V43:W43" si="34">V31</f>
        <v>i4</v>
      </c>
      <c r="W43" s="10">
        <f t="shared" si="34"/>
        <v>19.006993006993007</v>
      </c>
      <c r="X43" s="10"/>
      <c r="Y43" s="10"/>
      <c r="Z43" s="10"/>
    </row>
    <row r="44" spans="1:26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>
        <f t="shared" si="29"/>
        <v>0</v>
      </c>
      <c r="S44" s="10">
        <f t="shared" si="31"/>
        <v>0</v>
      </c>
      <c r="T44" s="10">
        <f t="shared" si="33"/>
        <v>0</v>
      </c>
      <c r="U44" s="10">
        <f t="shared" ref="U44:W44" si="35">U32</f>
        <v>0</v>
      </c>
      <c r="V44" s="10">
        <f t="shared" si="35"/>
        <v>0</v>
      </c>
      <c r="W44" s="10">
        <f t="shared" si="35"/>
        <v>0</v>
      </c>
      <c r="X44" s="10"/>
      <c r="Y44" s="10"/>
      <c r="Z44" s="10"/>
    </row>
    <row r="45" spans="1:26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V46" s="26" t="s">
        <v>70</v>
      </c>
      <c r="W46" s="26"/>
      <c r="X46" s="10"/>
      <c r="Y46" s="10"/>
      <c r="Z46" s="10"/>
    </row>
    <row r="47" spans="1:26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V47" s="27" t="s">
        <v>39</v>
      </c>
      <c r="W47" s="28">
        <f>R40</f>
        <v>4.0342795929298347</v>
      </c>
      <c r="X47" s="10"/>
      <c r="Y47" s="10"/>
      <c r="Z47" s="10"/>
    </row>
    <row r="48" spans="1:26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V48" s="27" t="s">
        <v>41</v>
      </c>
      <c r="W48" s="28">
        <f>S41</f>
        <v>1.6545259775040175</v>
      </c>
      <c r="X48" s="10"/>
      <c r="Y48" s="10"/>
      <c r="Z48" s="10"/>
    </row>
    <row r="49" spans="1:26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V49" s="27" t="s">
        <v>42</v>
      </c>
      <c r="W49" s="28">
        <f>T42</f>
        <v>2.845206213176219</v>
      </c>
      <c r="X49" s="10"/>
      <c r="Y49" s="10"/>
      <c r="Z49" s="10"/>
    </row>
    <row r="50" spans="1:26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27" t="s">
        <v>46</v>
      </c>
      <c r="W50" s="28">
        <f>U43</f>
        <v>3.6395286555972151</v>
      </c>
      <c r="X50" s="10"/>
      <c r="Y50" s="10"/>
      <c r="Z50" s="10"/>
    </row>
    <row r="51" spans="1:26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23">
    <mergeCell ref="V46:W46"/>
    <mergeCell ref="B7:C7"/>
    <mergeCell ref="E7:F7"/>
    <mergeCell ref="H7:I7"/>
    <mergeCell ref="B8:C8"/>
    <mergeCell ref="B9:C9"/>
    <mergeCell ref="K15:P15"/>
    <mergeCell ref="R15:W15"/>
    <mergeCell ref="R21:W21"/>
    <mergeCell ref="R27:W27"/>
    <mergeCell ref="H4:I4"/>
    <mergeCell ref="E8:F8"/>
    <mergeCell ref="E9:F9"/>
    <mergeCell ref="K9:P9"/>
    <mergeCell ref="R9:W9"/>
    <mergeCell ref="H6:I6"/>
    <mergeCell ref="H5:I5"/>
    <mergeCell ref="B2:C2"/>
    <mergeCell ref="E2:F2"/>
    <mergeCell ref="B3:C3"/>
    <mergeCell ref="E3:F3"/>
    <mergeCell ref="B4:C4"/>
    <mergeCell ref="E4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No.1 Gauss Elimination Method</vt:lpstr>
      <vt:lpstr>No.2 Gauss-Jordan Elimination M</vt:lpstr>
      <vt:lpstr>No.3  LU DECOMPOSITION (Gauss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Clarence Jay Fetalino</cp:lastModifiedBy>
  <dcterms:modified xsi:type="dcterms:W3CDTF">2026-03-08T12:45:31Z</dcterms:modified>
</cp:coreProperties>
</file>